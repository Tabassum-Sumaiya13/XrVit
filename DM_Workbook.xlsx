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1. Dataset" sheetId="2" state="visible" r:id="rId2"/>
    <sheet name="2. Model Details" sheetId="3" state="visible" r:id="rId3"/>
    <sheet name="3. Team Models (random split)" sheetId="4" state="visible" r:id="rId4"/>
    <sheet name="4. Official Split Results" sheetId="5" state="visible" r:id="rId5"/>
    <sheet name="5. Two-Stage Cascade" sheetId="6" state="visible" r:id="rId6"/>
  </sheets>
  <definedNames/>
  <calcPr calcId="124519" fullCalcOnLoad="1"/>
</workbook>
</file>

<file path=xl/styles.xml><?xml version="1.0" encoding="utf-8"?>
<styleSheet xmlns="http://schemas.openxmlformats.org/spreadsheetml/2006/main">
  <numFmts count="8">
    <numFmt numFmtId="164" formatCode="0.00x"/>
    <numFmt numFmtId="165" formatCode="0.0%"/>
    <numFmt numFmtId="166" formatCode="0.0x"/>
    <numFmt numFmtId="167" formatCode="0.0000"/>
    <numFmt numFmtId="168" formatCode="0.000"/>
    <numFmt numFmtId="169" formatCode="+0.0000;-0.0000"/>
    <numFmt numFmtId="170" formatCode="+0.0%;-0.0%"/>
    <numFmt numFmtId="171" formatCode="0.0"/>
  </numFmts>
  <fonts count="9">
    <font>
      <name val="Calibri"/>
      <family val="2"/>
      <color theme="1"/>
      <sz val="11"/>
      <scheme val="minor"/>
    </font>
    <font>
      <name val="Arial"/>
      <b val="1"/>
      <color rgb="00FFFFFF"/>
      <sz val="14"/>
    </font>
    <font>
      <name val="Arial"/>
      <i val="1"/>
      <color rgb="00595959"/>
      <sz val="9"/>
    </font>
    <font>
      <name val="Arial"/>
      <b val="1"/>
      <sz val="9"/>
    </font>
    <font>
      <name val="Arial"/>
      <b val="1"/>
      <color rgb="00FFFFFF"/>
      <sz val="10"/>
    </font>
    <font>
      <name val="Arial"/>
      <sz val="10"/>
    </font>
    <font>
      <name val="Arial"/>
      <b val="1"/>
      <sz val="10"/>
    </font>
    <font>
      <name val="Arial"/>
      <b val="1"/>
      <color rgb="001F3864"/>
      <sz val="11"/>
    </font>
    <font>
      <name val="Arial"/>
      <color rgb="000000FF"/>
      <sz val="10"/>
    </font>
  </fonts>
  <fills count="9">
    <fill>
      <patternFill/>
    </fill>
    <fill>
      <patternFill patternType="gray125"/>
    </fill>
    <fill>
      <patternFill patternType="solid">
        <fgColor rgb="001F3864"/>
      </patternFill>
    </fill>
    <fill>
      <patternFill patternType="solid">
        <fgColor rgb="00FCE4D6"/>
      </patternFill>
    </fill>
    <fill>
      <patternFill patternType="solid">
        <fgColor rgb="002E75B6"/>
      </patternFill>
    </fill>
    <fill>
      <patternFill patternType="solid">
        <fgColor rgb="00D9E2F3"/>
      </patternFill>
    </fill>
    <fill>
      <patternFill patternType="solid">
        <fgColor rgb="00E2EFDA"/>
      </patternFill>
    </fill>
    <fill>
      <patternFill patternType="solid">
        <fgColor rgb="00C6EFCE"/>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0" fillId="2" borderId="0" pivotButton="0" quotePrefix="0" xfId="0"/>
    <xf numFmtId="0" fontId="2" fillId="0" borderId="0" applyAlignment="1" pivotButton="0" quotePrefix="0" xfId="0">
      <alignment vertical="top" wrapText="1"/>
    </xf>
    <xf numFmtId="0" fontId="3" fillId="3" borderId="0" applyAlignment="1" pivotButton="0" quotePrefix="0" xfId="0">
      <alignment vertical="top" wrapText="1"/>
    </xf>
    <xf numFmtId="0" fontId="4" fillId="4" borderId="1" applyAlignment="1" pivotButton="0" quotePrefix="0" xfId="0">
      <alignment horizontal="center" vertical="center" wrapText="1"/>
    </xf>
    <xf numFmtId="0" fontId="6" fillId="0" borderId="1" applyAlignment="1" pivotButton="0" quotePrefix="0" xfId="0">
      <alignment horizontal="left" vertical="top"/>
    </xf>
    <xf numFmtId="0" fontId="5" fillId="0" borderId="1" applyAlignment="1" pivotButton="0" quotePrefix="0" xfId="0">
      <alignment horizontal="left" vertical="top" wrapText="1"/>
    </xf>
    <xf numFmtId="0" fontId="7" fillId="5" borderId="0" pivotButton="0" quotePrefix="0" xfId="0"/>
    <xf numFmtId="0" fontId="0" fillId="5" borderId="0" pivotButton="0" quotePrefix="0" xfId="0"/>
    <xf numFmtId="0" fontId="5" fillId="0" borderId="1" applyAlignment="1" pivotButton="0" quotePrefix="0" xfId="0">
      <alignment horizontal="left" vertical="top"/>
    </xf>
    <xf numFmtId="0" fontId="5" fillId="0" borderId="1" applyAlignment="1" pivotButton="0" quotePrefix="0" xfId="0">
      <alignment horizontal="center" vertical="top"/>
    </xf>
    <xf numFmtId="3" fontId="5" fillId="0" borderId="1" applyAlignment="1" pivotButton="0" quotePrefix="0" xfId="0">
      <alignment horizontal="center" vertical="top"/>
    </xf>
    <xf numFmtId="0" fontId="0" fillId="0" borderId="4" pivotButton="0" quotePrefix="0" xfId="0"/>
    <xf numFmtId="164" fontId="5" fillId="0" borderId="1" applyAlignment="1" pivotButton="0" quotePrefix="0" xfId="0">
      <alignment horizontal="left" vertical="top"/>
    </xf>
    <xf numFmtId="0" fontId="0" fillId="0" borderId="5" pivotButton="0" quotePrefix="0" xfId="0"/>
    <xf numFmtId="2"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1" fontId="5" fillId="0" borderId="1" applyAlignment="1" pivotButton="0" quotePrefix="0" xfId="0">
      <alignment horizontal="center" vertical="top"/>
    </xf>
    <xf numFmtId="166" fontId="5" fillId="0" borderId="1" applyAlignment="1" pivotButton="0" quotePrefix="0" xfId="0">
      <alignment horizontal="center" vertical="top"/>
    </xf>
    <xf numFmtId="0" fontId="5" fillId="6" borderId="1" applyAlignment="1" pivotButton="0" quotePrefix="0" xfId="0">
      <alignment horizontal="left" vertical="top" wrapText="1"/>
    </xf>
    <xf numFmtId="3" fontId="5" fillId="0" borderId="1" applyAlignment="1" pivotButton="0" quotePrefix="0" xfId="0">
      <alignment horizontal="center" vertical="top" wrapText="1"/>
    </xf>
    <xf numFmtId="0" fontId="5" fillId="0" borderId="1" applyAlignment="1" pivotButton="0" quotePrefix="0" xfId="0">
      <alignment horizontal="center" vertical="top" wrapText="1"/>
    </xf>
    <xf numFmtId="167" fontId="5" fillId="0" borderId="1" applyAlignment="1" pivotButton="0" quotePrefix="0" xfId="0">
      <alignment horizontal="center" vertical="top" wrapText="1"/>
    </xf>
    <xf numFmtId="2" fontId="5" fillId="0" borderId="1" applyAlignment="1" pivotButton="0" quotePrefix="0" xfId="0">
      <alignment horizontal="center" vertical="top" wrapText="1"/>
    </xf>
    <xf numFmtId="168" fontId="5" fillId="0" borderId="1" applyAlignment="1" pivotButton="0" quotePrefix="0" xfId="0">
      <alignment horizontal="center" vertical="top"/>
    </xf>
    <xf numFmtId="168" fontId="5" fillId="0" borderId="1" applyAlignment="1" pivotButton="0" quotePrefix="0" xfId="0">
      <alignment horizontal="left" vertical="top"/>
    </xf>
    <xf numFmtId="168" fontId="6" fillId="7" borderId="1" applyAlignment="1" pivotButton="0" quotePrefix="0" xfId="0">
      <alignment horizontal="center" vertical="top"/>
    </xf>
    <xf numFmtId="167" fontId="5" fillId="0" borderId="1" applyAlignment="1" pivotButton="0" quotePrefix="0" xfId="0">
      <alignment horizontal="center" vertical="top"/>
    </xf>
    <xf numFmtId="167" fontId="6" fillId="7" borderId="1" applyAlignment="1" pivotButton="0" quotePrefix="0" xfId="0">
      <alignment horizontal="center" vertical="top"/>
    </xf>
    <xf numFmtId="0" fontId="5" fillId="6" borderId="1" applyAlignment="1" pivotButton="0" quotePrefix="0" xfId="0">
      <alignment horizontal="left" vertical="top"/>
    </xf>
    <xf numFmtId="167" fontId="5" fillId="6" borderId="1" applyAlignment="1" pivotButton="0" quotePrefix="0" xfId="0">
      <alignment horizontal="center" vertical="top"/>
    </xf>
    <xf numFmtId="169" fontId="5" fillId="0" borderId="1" applyAlignment="1" pivotButton="0" quotePrefix="0" xfId="0">
      <alignment horizontal="center" vertical="top"/>
    </xf>
    <xf numFmtId="170" fontId="5" fillId="0" borderId="1" applyAlignment="1" pivotButton="0" quotePrefix="0" xfId="0">
      <alignment horizontal="center" vertical="top"/>
    </xf>
    <xf numFmtId="0" fontId="5" fillId="8" borderId="1" applyAlignment="1" pivotButton="0" quotePrefix="0" xfId="0">
      <alignment horizontal="left" vertical="top"/>
    </xf>
    <xf numFmtId="3" fontId="6" fillId="0" borderId="1" applyAlignment="1" pivotButton="0" quotePrefix="0" xfId="0">
      <alignment horizontal="center" vertical="top"/>
    </xf>
    <xf numFmtId="168" fontId="6" fillId="0" borderId="1" applyAlignment="1" pivotButton="0" quotePrefix="0" xfId="0">
      <alignment horizontal="center" vertical="top"/>
    </xf>
    <xf numFmtId="171" fontId="5" fillId="0" borderId="1" applyAlignment="1" pivotButton="0" quotePrefix="0" xfId="0">
      <alignment horizontal="center" vertical="top"/>
    </xf>
    <xf numFmtId="167" fontId="5" fillId="0" borderId="1" applyAlignment="1" pivotButton="0" quotePrefix="0" xfId="0">
      <alignment horizontal="left" vertical="top"/>
    </xf>
    <xf numFmtId="171" fontId="5" fillId="0" borderId="1" applyAlignment="1" pivotButton="0" quotePrefix="0" xfId="0">
      <alignment horizontal="left" vertical="top"/>
    </xf>
    <xf numFmtId="165" fontId="5" fillId="6" borderId="1" applyAlignment="1" pivotButton="0" quotePrefix="0" xfId="0">
      <alignment horizontal="center" vertical="top"/>
    </xf>
    <xf numFmtId="2" fontId="5" fillId="6" borderId="1" applyAlignment="1" pivotButton="0" quotePrefix="0" xfId="0">
      <alignment horizontal="center" vertical="top"/>
    </xf>
    <xf numFmtId="3" fontId="5" fillId="6" borderId="1" applyAlignment="1" pivotButton="0" quotePrefix="0" xfId="0">
      <alignment horizontal="center" vertical="top"/>
    </xf>
    <xf numFmtId="2" fontId="8" fillId="0" borderId="1" applyAlignment="1" pivotButton="0" quotePrefix="0" xfId="0">
      <alignment horizontal="center" vertical="top"/>
    </xf>
    <xf numFmtId="165" fontId="8" fillId="0" borderId="1" applyAlignment="1" pivotButton="0" quotePrefix="0" xfId="0">
      <alignment horizontal="center" vertical="top"/>
    </xf>
    <xf numFmtId="165" fontId="8" fillId="6" borderId="1" applyAlignment="1" pivotButton="0" quotePrefix="0" xfId="0">
      <alignment horizontal="center" vertical="top"/>
    </xf>
    <xf numFmtId="165" fontId="6"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style val="13"/>
  <chart>
    <title>
      <tx>
        <rich>
          <a:bodyPr/>
          <a:p>
            <a:pPr>
              <a:defRPr/>
            </a:pPr>
            <a:r>
              <a:t>Test macro F1 vs share sent to RAD-DINO</a:t>
            </a:r>
          </a:p>
        </rich>
      </tx>
    </title>
    <plotArea>
      <scatterChart>
        <ser>
          <idx val="0"/>
          <order val="0"/>
          <tx>
            <v>Stage 2 = RAD-DINO</v>
          </tx>
          <spPr>
            <a:ln>
              <a:solidFill>
                <a:srgbClr val="2E75B6"/>
              </a:solidFill>
              <a:prstDash val="solid"/>
            </a:ln>
          </spPr>
          <marker>
            <symbol val="circle"/>
            <spPr>
              <a:solidFill>
                <a:srgbClr val="2E75B6"/>
              </a:solidFill>
              <a:ln>
                <a:prstDash val="solid"/>
              </a:ln>
            </spPr>
          </marker>
          <xVal>
            <numRef>
              <f>'5. Two-Stage Cascade'!$D$17:$D$21</f>
            </numRef>
          </xVal>
          <yVal>
            <numRef>
              <f>'5. Two-Stage Cascade'!$H$17:$H$21</f>
            </numRef>
          </yVal>
        </ser>
        <ser>
          <idx val="1"/>
          <order val="1"/>
          <tx>
            <v>Stage 2 = average</v>
          </tx>
          <spPr>
            <a:ln>
              <a:solidFill>
                <a:srgbClr val="70AD47"/>
              </a:solidFill>
              <a:prstDash val="solid"/>
            </a:ln>
          </spPr>
          <marker>
            <symbol val="circle"/>
            <spPr>
              <a:solidFill>
                <a:srgbClr val="70AD47"/>
              </a:solidFill>
              <a:ln>
                <a:prstDash val="solid"/>
              </a:ln>
            </spPr>
          </marker>
          <xVal>
            <numRef>
              <f>'5. Two-Stage Cascade'!$D$26:$D$30</f>
            </numRef>
          </xVal>
          <yVal>
            <numRef>
              <f>'5. Two-Stage Cascade'!$H$26:$H$30</f>
            </numRef>
          </yVal>
        </ser>
        <axId val="10"/>
        <axId val="20"/>
      </scatterChart>
      <valAx>
        <axId val="10"/>
        <scaling>
          <orientation val="minMax"/>
        </scaling>
        <delete val="0"/>
        <axPos val="l"/>
        <majorGridlines/>
        <title>
          <tx>
            <rich>
              <a:bodyPr/>
              <a:p>
                <a:pPr>
                  <a:defRPr/>
                </a:pPr>
                <a:r>
                  <a:t>Share of test images sent to RAD-DINO</a:t>
                </a:r>
              </a:p>
            </rich>
          </tx>
        </title>
        <numFmt formatCode="0%" sourceLinked="0"/>
        <majorTickMark val="none"/>
        <minorTickMark val="none"/>
        <crossAx val="20"/>
      </valAx>
      <valAx>
        <axId val="20"/>
        <scaling>
          <orientation val="minMax"/>
        </scaling>
        <delete val="0"/>
        <axPos val="l"/>
        <majorGridlines/>
        <title>
          <tx>
            <rich>
              <a:bodyPr/>
              <a:p>
                <a:pPr>
                  <a:defRPr/>
                </a:pPr>
                <a:r>
                  <a:t>Macro F1 (test)</a:t>
                </a:r>
              </a:p>
            </rich>
          </tx>
        </title>
        <numFmt formatCode="0.0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Share sent to RAD-DINO: validation vs test (flat gates)</a:t>
            </a:r>
          </a:p>
        </rich>
      </tx>
    </title>
    <plotArea>
      <barChart>
        <barDir val="col"/>
        <grouping val="clustered"/>
        <ser>
          <idx val="0"/>
          <order val="0"/>
          <tx>
            <v>Validation</v>
          </tx>
          <spPr>
            <a:ln>
              <a:prstDash val="solid"/>
            </a:ln>
          </spPr>
          <cat>
            <numRef>
              <f>'5. Two-Stage Cascade'!$B$17:$B$21</f>
            </numRef>
          </cat>
          <val>
            <numRef>
              <f>'5. Two-Stage Cascade'!$C$17:$C$21</f>
            </numRef>
          </val>
        </ser>
        <ser>
          <idx val="1"/>
          <order val="1"/>
          <tx>
            <v>Test</v>
          </tx>
          <spPr>
            <a:ln>
              <a:prstDash val="solid"/>
            </a:ln>
          </spPr>
          <cat>
            <numRef>
              <f>'5. Two-Stage Cascade'!$B$17:$B$21</f>
            </numRef>
          </cat>
          <val>
            <numRef>
              <f>'5. Two-Stage Cascade'!$D$17:$D$21</f>
            </numRef>
          </val>
        </ser>
        <gapWidth val="150"/>
        <axId val="10"/>
        <axId val="100"/>
      </barChart>
      <catAx>
        <axId val="10"/>
        <scaling>
          <orientation val="minMax"/>
        </scaling>
        <delete val="0"/>
        <axPos val="l"/>
        <title>
          <tx>
            <rich>
              <a:bodyPr/>
              <a:p>
                <a:pPr>
                  <a:defRPr/>
                </a:pPr>
                <a:r>
                  <a:t>Gate</a:t>
                </a:r>
              </a:p>
            </rich>
          </tx>
        </title>
        <majorTickMark val="none"/>
        <minorTickMark val="none"/>
        <crossAx val="100"/>
        <lblOffset val="100"/>
      </catAx>
      <valAx>
        <axId val="100"/>
        <scaling>
          <orientation val="minMax"/>
        </scaling>
        <delete val="0"/>
        <axPos val="l"/>
        <majorGridlines/>
        <title>
          <tx>
            <rich>
              <a:bodyPr/>
              <a:p>
                <a:pPr>
                  <a:defRPr/>
                </a:pPr>
                <a:r>
                  <a:t>Share of images</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15</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31</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12"/>
  <sheetViews>
    <sheetView zoomScale="100" workbookViewId="0">
      <selection activeCell="A1" sqref="A1"/>
    </sheetView>
  </sheetViews>
  <sheetFormatPr baseColWidth="8" defaultRowHeight="15"/>
  <cols>
    <col width="30" customWidth="1" min="1" max="1"/>
    <col width="110" customWidth="1" min="2" max="2"/>
  </cols>
  <sheetData>
    <row r="1" ht="24" customHeight="1">
      <c r="A1" s="1" t="inlineStr">
        <is>
          <t>Chest X-ray Multi-Label Classification: Research Results</t>
        </is>
      </c>
      <c r="B1" s="2" t="n"/>
    </row>
    <row r="2" ht="30" customHeight="1">
      <c r="A2" s="3" t="inlineStr">
        <is>
          <t>Cascade results (sheets 4–5) use the official NIH ChestX-ray14 split, one training seed (42), no test-time augmentation. Updated 2026-09-24 from the final seed-42 run (results_s42).</t>
        </is>
      </c>
    </row>
    <row r="3" ht="42" customHeight="1">
      <c r="A3" s="4" t="inlineStr">
        <is>
          <t>Two different test sets are in this workbook. Team models (sheet 3) were tested on a random patient split (15,917 images). The cascade models (sheets 4–5) were tested on the official NIH test list (25,596 images), which is harder. Never compare numbers across the two.</t>
        </is>
      </c>
    </row>
    <row r="5" ht="30" customHeight="1">
      <c r="A5" s="5" t="inlineStr">
        <is>
          <t>Sheet</t>
        </is>
      </c>
      <c r="B5" s="5" t="inlineStr">
        <is>
          <t>What it contains</t>
        </is>
      </c>
    </row>
    <row r="6">
      <c r="A6" s="6" t="inlineStr">
        <is>
          <t>1. Dataset</t>
        </is>
      </c>
      <c r="B6" s="7" t="inlineStr">
        <is>
          <t>Dataset overview, disease counts and prevalence, split sizes, and how the official test set differs from train/validation.</t>
        </is>
      </c>
    </row>
    <row r="7">
      <c r="A7" s="6" t="inlineStr">
        <is>
          <t>2. Model Details</t>
        </is>
      </c>
      <c r="B7" s="7" t="inlineStr">
        <is>
          <t>Architecture and training setup for the 7 team models (random split) and the 2 cascade models (official split, seed 42).</t>
        </is>
      </c>
    </row>
    <row r="8">
      <c r="A8" s="6" t="inlineStr">
        <is>
          <t>3. Team Models (random split)</t>
        </is>
      </c>
      <c r="B8" s="7" t="inlineStr">
        <is>
          <t>Condensed benchmark of the 7 team models on their own random split: headline metrics, per-disease AUROC / F1 / precision / recall, key findings.</t>
        </is>
      </c>
    </row>
    <row r="9">
      <c r="A9" s="6" t="inlineStr">
        <is>
          <t>4. Official Split Results</t>
        </is>
      </c>
      <c r="B9" s="7" t="inlineStr">
        <is>
          <t>Final seed-42 results on the official test set: CNN, RAD-DINO, their average and the cascade, with 95% CIs, significance tests, per-disease results and training logs.</t>
        </is>
      </c>
    </row>
    <row r="10">
      <c r="A10" s="6" t="inlineStr">
        <is>
          <t>5. Two-Stage Cascade</t>
        </is>
      </c>
      <c r="B10" s="7" t="inlineStr">
        <is>
          <t>How the cascade works, the gate sweep, per-image vs per-finding routing, real compute cost (live formulas), which diseases the CNN decides, and the findings.</t>
        </is>
      </c>
    </row>
    <row r="12" ht="143" customHeight="1">
      <c r="A12" s="3" t="inlineStr">
        <is>
          <t>Removed on 2026-09-24: the earlier cascade experiment on a random 70/15/15 split (test 16,724 images; old sheets 7–8 and its rows/columns elsewhere), and the 3-seed / TTA tables of the official split. The previous file is kept in _archive/.</t>
        </is>
      </c>
    </row>
  </sheetData>
  <mergeCells count="4">
    <mergeCell ref="A3:B3"/>
    <mergeCell ref="A2:B2"/>
    <mergeCell ref="A1:B1"/>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1"/>
  <sheetViews>
    <sheetView zoomScale="100" workbookViewId="0">
      <pane ySplit="3" topLeftCell="A4" activePane="bottomLeft" state="frozen"/>
      <selection pane="bottomLef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8" customWidth="1" min="6" max="6"/>
    <col width="18" customWidth="1" min="7" max="7"/>
    <col width="18" customWidth="1" min="8" max="8"/>
    <col width="40" customWidth="1" min="9" max="9"/>
  </cols>
  <sheetData>
    <row r="1" ht="24" customHeight="1">
      <c r="A1" s="1" t="inlineStr">
        <is>
          <t>1. Dataset</t>
        </is>
      </c>
      <c r="B1" s="2" t="n"/>
      <c r="C1" s="2" t="n"/>
      <c r="D1" s="2" t="n"/>
      <c r="E1" s="2" t="n"/>
      <c r="F1" s="2" t="n"/>
      <c r="G1" s="2" t="n"/>
      <c r="H1" s="2" t="n"/>
      <c r="I1" s="2" t="n"/>
    </row>
    <row r="2" ht="30" customHeight="1">
      <c r="A2" s="3" t="inlineStr">
        <is>
          <t>NIH ChestX-ray14. Official split = official test list; validation = 15% of the train_val patients (seed 42); train = the rest. Source: T1_dataset_characteristics.csv (split_sha256 b9f2fbc9…).</t>
        </is>
      </c>
    </row>
    <row r="4">
      <c r="A4" s="8" t="inlineStr">
        <is>
          <t>A. Dataset overview</t>
        </is>
      </c>
      <c r="B4" s="9" t="n"/>
      <c r="C4" s="9" t="n"/>
      <c r="D4" s="9" t="n"/>
      <c r="E4" s="9" t="n"/>
      <c r="F4" s="9" t="n"/>
      <c r="G4" s="9" t="n"/>
      <c r="H4" s="9" t="n"/>
      <c r="I4" s="9" t="n"/>
    </row>
    <row r="5" ht="30" customHeight="1">
      <c r="A5" s="5" t="inlineStr">
        <is>
          <t>Dataset</t>
        </is>
      </c>
      <c r="B5" s="5" t="inlineStr">
        <is>
          <t>Modality</t>
        </is>
      </c>
      <c r="C5" s="5" t="inlineStr">
        <is>
          <t>Task</t>
        </is>
      </c>
      <c r="D5" s="5" t="inlineStr">
        <is>
          <t># Diseases (labels)</t>
        </is>
      </c>
      <c r="E5" s="5" t="inlineStr">
        <is>
          <t>Total images</t>
        </is>
      </c>
      <c r="F5" s="5" t="inlineStr">
        <is>
          <t>Total patients</t>
        </is>
      </c>
      <c r="G5" s="5" t="inlineStr">
        <is>
          <t>Label source</t>
        </is>
      </c>
      <c r="H5" s="5" t="inlineStr"/>
      <c r="I5" s="5" t="inlineStr">
        <is>
          <t>Notes</t>
        </is>
      </c>
    </row>
    <row r="6" ht="45" customHeight="1">
      <c r="A6" s="10" t="inlineStr">
        <is>
          <t>NIH ChestX-ray14</t>
        </is>
      </c>
      <c r="B6" s="10" t="inlineStr">
        <is>
          <t>Chest X-ray</t>
        </is>
      </c>
      <c r="C6" s="7" t="inlineStr">
        <is>
          <t>Multi-label classification</t>
        </is>
      </c>
      <c r="D6" s="11" t="n">
        <v>14</v>
      </c>
      <c r="E6" s="12" t="n">
        <v>112120</v>
      </c>
      <c r="F6" s="12" t="n">
        <v>30805</v>
      </c>
      <c r="G6" s="7" t="inlineStr">
        <is>
          <t>Text-mined from radiology reports (not verified against images, so labels are noisy)</t>
        </is>
      </c>
      <c r="H6" s="13" t="n"/>
      <c r="I6" s="7" t="inlineStr">
        <is>
          <t>Several X-rays can come from one patient, so splits must be patient-level to avoid leakage.</t>
        </is>
      </c>
    </row>
    <row r="8">
      <c r="A8" s="8" t="inlineStr">
        <is>
          <t>B. Split sizes</t>
        </is>
      </c>
      <c r="B8" s="9" t="n"/>
      <c r="C8" s="9" t="n"/>
      <c r="D8" s="9" t="n"/>
      <c r="E8" s="9" t="n"/>
      <c r="F8" s="9" t="n"/>
      <c r="G8" s="9" t="n"/>
      <c r="H8" s="9" t="n"/>
      <c r="I8" s="9" t="n"/>
    </row>
    <row r="9" ht="30" customHeight="1">
      <c r="A9" s="5" t="inlineStr">
        <is>
          <t>Split</t>
        </is>
      </c>
      <c r="B9" s="5" t="inlineStr">
        <is>
          <t>Used by</t>
        </is>
      </c>
      <c r="C9" s="5" t="inlineStr">
        <is>
          <t>Train images</t>
        </is>
      </c>
      <c r="D9" s="5" t="inlineStr">
        <is>
          <t>Val images</t>
        </is>
      </c>
      <c r="E9" s="5" t="inlineStr">
        <is>
          <t>Test images</t>
        </is>
      </c>
      <c r="F9" s="5" t="inlineStr">
        <is>
          <t>Train patients</t>
        </is>
      </c>
      <c r="G9" s="5" t="inlineStr">
        <is>
          <t>Val patients</t>
        </is>
      </c>
      <c r="H9" s="5" t="inlineStr">
        <is>
          <t>Test patients</t>
        </is>
      </c>
      <c r="I9" s="5" t="inlineStr">
        <is>
          <t>Notes</t>
        </is>
      </c>
    </row>
    <row r="10">
      <c r="A10" s="10" t="inlineStr">
        <is>
          <t>Official NIH split</t>
        </is>
      </c>
      <c r="B10" s="7" t="inlineStr">
        <is>
          <t>Cascade models (sheets 4–5)</t>
        </is>
      </c>
      <c r="C10" s="12" t="n">
        <v>73916</v>
      </c>
      <c r="D10" s="12" t="n">
        <v>12608</v>
      </c>
      <c r="E10" s="12" t="n">
        <v>25596</v>
      </c>
      <c r="F10" s="12" t="n">
        <v>23806</v>
      </c>
      <c r="G10" s="12" t="n">
        <v>4202</v>
      </c>
      <c r="H10" s="12" t="n">
        <v>2797</v>
      </c>
      <c r="I10" s="7" t="inlineStr">
        <is>
          <t>Test = official test_list.txt. Patient-level, no overlap.</t>
        </is>
      </c>
    </row>
    <row r="11">
      <c r="A11" s="10" t="inlineStr">
        <is>
          <t>Random patient split</t>
        </is>
      </c>
      <c r="B11" s="7" t="inlineStr">
        <is>
          <t>Team models (sheet 3)</t>
        </is>
      </c>
      <c r="C11" s="12" t="n">
        <v>78596</v>
      </c>
      <c r="D11" s="12" t="n">
        <v>17591</v>
      </c>
      <c r="E11" s="12" t="n">
        <v>15917</v>
      </c>
      <c r="F11" s="10" t="inlineStr">
        <is>
          <t>n/r</t>
        </is>
      </c>
      <c r="G11" s="10" t="inlineStr">
        <is>
          <t>n/r</t>
        </is>
      </c>
      <c r="H11" s="10" t="inlineStr">
        <is>
          <t>n/r</t>
        </is>
      </c>
      <c r="I11" s="7" t="inlineStr">
        <is>
          <t>Split method not documented; 16 of 112,120 images unaccounted for.</t>
        </is>
      </c>
    </row>
    <row r="13">
      <c r="A13" s="8" t="inlineStr">
        <is>
          <t>C. Official split: how the test set differs from train and validation</t>
        </is>
      </c>
      <c r="B13" s="9" t="n"/>
      <c r="C13" s="9" t="n"/>
      <c r="D13" s="9" t="n"/>
      <c r="E13" s="9" t="n"/>
      <c r="F13" s="9" t="n"/>
      <c r="G13" s="9" t="n"/>
      <c r="H13" s="9" t="n"/>
      <c r="I13" s="9" t="n"/>
    </row>
    <row r="14" ht="30" customHeight="1">
      <c r="A14" s="5" t="inlineStr">
        <is>
          <t>Characteristic</t>
        </is>
      </c>
      <c r="B14" s="5" t="inlineStr">
        <is>
          <t>Train</t>
        </is>
      </c>
      <c r="C14" s="5" t="inlineStr">
        <is>
          <t>Validation</t>
        </is>
      </c>
      <c r="D14" s="5" t="inlineStr">
        <is>
          <t>Test</t>
        </is>
      </c>
      <c r="E14" s="5" t="inlineStr">
        <is>
          <t>Test ÷ validation</t>
        </is>
      </c>
      <c r="F14" s="5" t="inlineStr"/>
      <c r="G14" s="5" t="inlineStr"/>
      <c r="H14" s="5" t="inlineStr"/>
      <c r="I14" s="5" t="inlineStr">
        <is>
          <t>Comment</t>
        </is>
      </c>
    </row>
    <row r="15">
      <c r="A15" s="10" t="inlineStr">
        <is>
          <t>Images</t>
        </is>
      </c>
      <c r="B15" s="12" t="n">
        <v>73916</v>
      </c>
      <c r="C15" s="12" t="n">
        <v>12608</v>
      </c>
      <c r="D15" s="12" t="n">
        <v>25596</v>
      </c>
      <c r="E15" s="14" t="inlineStr"/>
      <c r="F15" s="15" t="n"/>
      <c r="G15" s="15" t="n"/>
      <c r="H15" s="13" t="n"/>
      <c r="I15" s="7" t="inlineStr"/>
    </row>
    <row r="16">
      <c r="A16" s="10" t="inlineStr">
        <is>
          <t>Patients</t>
        </is>
      </c>
      <c r="B16" s="12" t="n">
        <v>23806</v>
      </c>
      <c r="C16" s="12" t="n">
        <v>4202</v>
      </c>
      <c r="D16" s="12" t="n">
        <v>2797</v>
      </c>
      <c r="E16" s="14" t="inlineStr"/>
      <c r="F16" s="15" t="n"/>
      <c r="G16" s="15" t="n"/>
      <c r="H16" s="13" t="n"/>
      <c r="I16" s="7" t="inlineStr"/>
    </row>
    <row r="17">
      <c r="A17" s="10" t="inlineStr">
        <is>
          <t>Images per patient</t>
        </is>
      </c>
      <c r="B17" s="16" t="n">
        <v>3.10493152986642</v>
      </c>
      <c r="C17" s="16" t="n">
        <v>3.000475963826749</v>
      </c>
      <c r="D17" s="16" t="n">
        <v>9.151233464426172</v>
      </c>
      <c r="E17" s="17">
        <f>D17/C17</f>
        <v/>
      </c>
      <c r="F17" s="15" t="n"/>
      <c r="G17" s="15" t="n"/>
      <c r="H17" s="13" t="n"/>
      <c r="I17" s="7" t="inlineStr">
        <is>
          <t>Test patients have many follow-up films (sicker, repeatedly imaged).</t>
        </is>
      </c>
    </row>
    <row r="18">
      <c r="A18" s="10" t="inlineStr">
        <is>
          <t>Findings per image</t>
        </is>
      </c>
      <c r="B18" s="16" t="n">
        <v>0.62554795</v>
      </c>
      <c r="C18" s="16" t="n">
        <v>0.6132614</v>
      </c>
      <c r="D18" s="16" t="n">
        <v>1.0629004</v>
      </c>
      <c r="E18" s="17">
        <f>D18/C18</f>
        <v/>
      </c>
      <c r="F18" s="15" t="n"/>
      <c r="G18" s="15" t="n"/>
      <c r="H18" s="13" t="n"/>
      <c r="I18" s="7" t="inlineStr">
        <is>
          <t>Test images carry ~1.7x more findings.</t>
        </is>
      </c>
    </row>
    <row r="19">
      <c r="A19" s="10" t="inlineStr">
        <is>
          <t>All-negative images</t>
        </is>
      </c>
      <c r="B19" s="12" t="n">
        <v>43075</v>
      </c>
      <c r="C19" s="12" t="n">
        <v>7425</v>
      </c>
      <c r="D19" s="12" t="n">
        <v>9861</v>
      </c>
      <c r="E19" s="14" t="inlineStr"/>
      <c r="F19" s="15" t="n"/>
      <c r="G19" s="15" t="n"/>
      <c r="H19" s="13" t="n"/>
      <c r="I19" s="7" t="inlineStr"/>
    </row>
    <row r="20">
      <c r="A20" s="10" t="inlineStr">
        <is>
          <t>PA (standing) view share</t>
        </is>
      </c>
      <c r="B20" s="18" t="n">
        <v>0.6486011147789382</v>
      </c>
      <c r="C20" s="18" t="n">
        <v>0.6560913705583756</v>
      </c>
      <c r="D20" s="18" t="n">
        <v>0.4335052351929989</v>
      </c>
      <c r="E20" s="17">
        <f>D20/C20</f>
        <v/>
      </c>
      <c r="F20" s="15" t="n"/>
      <c r="G20" s="15" t="n"/>
      <c r="H20" s="13" t="n"/>
      <c r="I20" s="7" t="inlineStr">
        <is>
          <t>More AP (bedside) films in test.</t>
        </is>
      </c>
    </row>
    <row r="21">
      <c r="A21" s="10" t="inlineStr">
        <is>
          <t>Male share</t>
        </is>
      </c>
      <c r="B21" s="18" t="n">
        <v>0.5622328048054548</v>
      </c>
      <c r="C21" s="18" t="n">
        <v>0.5472715736040609</v>
      </c>
      <c r="D21" s="18" t="n">
        <v>0.5814189717143303</v>
      </c>
      <c r="E21" s="17">
        <f>D21/C21</f>
        <v/>
      </c>
      <c r="F21" s="15" t="n"/>
      <c r="G21" s="15" t="n"/>
      <c r="H21" s="13" t="n"/>
      <c r="I21" s="7" t="inlineStr"/>
    </row>
    <row r="22">
      <c r="A22" s="10" t="inlineStr">
        <is>
          <t>Median age</t>
        </is>
      </c>
      <c r="B22" s="19" t="n">
        <v>49</v>
      </c>
      <c r="C22" s="19" t="n">
        <v>49</v>
      </c>
      <c r="D22" s="19" t="n">
        <v>49</v>
      </c>
      <c r="E22" s="17">
        <f>D22/C22</f>
        <v/>
      </c>
      <c r="F22" s="15" t="n"/>
      <c r="G22" s="15" t="n"/>
      <c r="H22" s="13" t="n"/>
      <c r="I22" s="7" t="inlineStr"/>
    </row>
    <row r="23" ht="39" customHeight="1">
      <c r="A23" s="3" t="inlineStr">
        <is>
          <t>Because of this shift, results tuned on validation (thresholds, the cascade gate) behave differently on test. It is the main reason the cascade saves little compute on the official test set (sheet 5).</t>
        </is>
      </c>
    </row>
    <row r="25">
      <c r="A25" s="8" t="inlineStr">
        <is>
          <t>D. Diseases: positives and prevalence</t>
        </is>
      </c>
      <c r="B25" s="9" t="n"/>
      <c r="C25" s="9" t="n"/>
      <c r="D25" s="9" t="n"/>
      <c r="E25" s="9" t="n"/>
      <c r="F25" s="9" t="n"/>
      <c r="G25" s="9" t="n"/>
      <c r="H25" s="9" t="n"/>
      <c r="I25" s="9" t="n"/>
    </row>
    <row r="26" ht="45" customHeight="1">
      <c r="A26" s="5" t="inlineStr">
        <is>
          <t>Disease</t>
        </is>
      </c>
      <c r="B26" s="5" t="inlineStr">
        <is>
          <t>Train prevalence</t>
        </is>
      </c>
      <c r="C26" s="5" t="inlineStr">
        <is>
          <t>Validation prevalence</t>
        </is>
      </c>
      <c r="D26" s="5" t="inlineStr">
        <is>
          <t>Official test positives</t>
        </is>
      </c>
      <c r="E26" s="5" t="inlineStr">
        <is>
          <t>Official test prevalence</t>
        </is>
      </c>
      <c r="F26" s="5" t="inlineStr">
        <is>
          <t>Test ÷ validation prevalence</t>
        </is>
      </c>
      <c r="G26" s="5" t="inlineStr">
        <is>
          <t>Team test-set positives (15,917 img)</t>
        </is>
      </c>
      <c r="H26" s="5" t="inlineStr">
        <is>
          <t>Team test-set prevalence</t>
        </is>
      </c>
      <c r="I26" s="5" t="inlineStr">
        <is>
          <t>Comment</t>
        </is>
      </c>
    </row>
    <row r="27">
      <c r="A27" s="10" t="inlineStr">
        <is>
          <t>Infiltration</t>
        </is>
      </c>
      <c r="B27" s="18" t="n">
        <v>0.1603576987981796</v>
      </c>
      <c r="C27" s="18" t="n">
        <v>0.1529980897903442</v>
      </c>
      <c r="D27" s="12" t="n">
        <v>6112</v>
      </c>
      <c r="E27" s="18" t="n">
        <v>0.2387873083353042</v>
      </c>
      <c r="F27" s="20">
        <f>E27/C27</f>
        <v/>
      </c>
      <c r="G27" s="12" t="n">
        <v>2777</v>
      </c>
      <c r="H27" s="18" t="n">
        <v>0.1745</v>
      </c>
      <c r="I27" s="10" t="inlineStr"/>
    </row>
    <row r="28">
      <c r="A28" s="10" t="inlineStr">
        <is>
          <t>Effusion</t>
        </is>
      </c>
      <c r="B28" s="18" t="n">
        <v>0.1003165766596794</v>
      </c>
      <c r="C28" s="18" t="n">
        <v>0.0986675098538398</v>
      </c>
      <c r="D28" s="12" t="n">
        <v>4658</v>
      </c>
      <c r="E28" s="18" t="n">
        <v>0.1819815635681152</v>
      </c>
      <c r="F28" s="20">
        <f>E28/C28</f>
        <v/>
      </c>
      <c r="G28" s="12" t="n">
        <v>1755</v>
      </c>
      <c r="H28" s="18" t="n">
        <v>0.1103</v>
      </c>
      <c r="I28" s="10" t="inlineStr"/>
    </row>
    <row r="29">
      <c r="A29" s="10" t="inlineStr">
        <is>
          <t>Atelectasis</t>
        </is>
      </c>
      <c r="B29" s="18" t="n">
        <v>0.0947426781058311</v>
      </c>
      <c r="C29" s="18" t="n">
        <v>0.1012848988175392</v>
      </c>
      <c r="D29" s="12" t="n">
        <v>3279</v>
      </c>
      <c r="E29" s="18" t="n">
        <v>0.128105953335762</v>
      </c>
      <c r="F29" s="20">
        <f>E29/C29</f>
        <v/>
      </c>
      <c r="G29" s="12" t="n">
        <v>1685</v>
      </c>
      <c r="H29" s="18" t="n">
        <v>0.1059</v>
      </c>
      <c r="I29" s="10" t="inlineStr"/>
    </row>
    <row r="30">
      <c r="A30" s="10" t="inlineStr">
        <is>
          <t>Pneumothorax</t>
        </is>
      </c>
      <c r="B30" s="18" t="n">
        <v>0.0309405270963907</v>
      </c>
      <c r="C30" s="18" t="n">
        <v>0.0277601517736911</v>
      </c>
      <c r="D30" s="12" t="n">
        <v>2665</v>
      </c>
      <c r="E30" s="18" t="n">
        <v>0.1041178330779075</v>
      </c>
      <c r="F30" s="20">
        <f>E30/C30</f>
        <v/>
      </c>
      <c r="G30" s="12" t="n">
        <v>703</v>
      </c>
      <c r="H30" s="18" t="n">
        <v>0.0442</v>
      </c>
      <c r="I30" s="10" t="inlineStr">
        <is>
          <t>Largest jump: 3.7x more common in test.</t>
        </is>
      </c>
    </row>
    <row r="31">
      <c r="A31" s="10" t="inlineStr">
        <is>
          <t>Consolidation</t>
        </is>
      </c>
      <c r="B31" s="18" t="n">
        <v>0.0335786566138267</v>
      </c>
      <c r="C31" s="18" t="n">
        <v>0.0293464474380016</v>
      </c>
      <c r="D31" s="12" t="n">
        <v>1815</v>
      </c>
      <c r="E31" s="18" t="n">
        <v>0.07090951502323151</v>
      </c>
      <c r="F31" s="20">
        <f>E31/C31</f>
        <v/>
      </c>
      <c r="G31" s="12" t="n">
        <v>563</v>
      </c>
      <c r="H31" s="18" t="n">
        <v>0.0354</v>
      </c>
      <c r="I31" s="10" t="inlineStr"/>
    </row>
    <row r="32">
      <c r="A32" s="10" t="inlineStr">
        <is>
          <t>Mass</t>
        </is>
      </c>
      <c r="B32" s="18" t="n">
        <v>0.0467016622424125</v>
      </c>
      <c r="C32" s="18" t="n">
        <v>0.0461611673235893</v>
      </c>
      <c r="D32" s="12" t="n">
        <v>1748</v>
      </c>
      <c r="E32" s="18" t="n">
        <v>0.0682919174432754</v>
      </c>
      <c r="F32" s="20">
        <f>E32/C32</f>
        <v/>
      </c>
      <c r="G32" s="12" t="n">
        <v>848</v>
      </c>
      <c r="H32" s="18" t="n">
        <v>0.0533</v>
      </c>
      <c r="I32" s="10" t="inlineStr"/>
    </row>
    <row r="33">
      <c r="A33" s="10" t="inlineStr">
        <is>
          <t>Nodule</t>
        </is>
      </c>
      <c r="B33" s="18" t="n">
        <v>0.0546836964786052</v>
      </c>
      <c r="C33" s="18" t="n">
        <v>0.0528236031532287</v>
      </c>
      <c r="D33" s="12" t="n">
        <v>1623</v>
      </c>
      <c r="E33" s="18" t="n">
        <v>0.0634083449840545</v>
      </c>
      <c r="F33" s="20">
        <f>E33/C33</f>
        <v/>
      </c>
      <c r="G33" s="12" t="n">
        <v>894</v>
      </c>
      <c r="H33" s="18" t="n">
        <v>0.0562</v>
      </c>
      <c r="I33" s="10" t="inlineStr"/>
    </row>
    <row r="34">
      <c r="A34" s="10" t="inlineStr">
        <is>
          <t>Pleural Thickening</t>
        </is>
      </c>
      <c r="B34" s="18" t="n">
        <v>0.0252989884465932</v>
      </c>
      <c r="C34" s="18" t="n">
        <v>0.0295050758868455</v>
      </c>
      <c r="D34" s="12" t="n">
        <v>1143</v>
      </c>
      <c r="E34" s="18" t="n">
        <v>0.0446554161608219</v>
      </c>
      <c r="F34" s="20">
        <f>E34/C34</f>
        <v/>
      </c>
      <c r="G34" s="12" t="n">
        <v>444</v>
      </c>
      <c r="H34" s="18" t="n">
        <v>0.0279</v>
      </c>
      <c r="I34" s="10" t="inlineStr"/>
    </row>
    <row r="35">
      <c r="A35" s="10" t="inlineStr">
        <is>
          <t>Emphysema</t>
        </is>
      </c>
      <c r="B35" s="18" t="n">
        <v>0.0172357819974422</v>
      </c>
      <c r="C35" s="18" t="n">
        <v>0.0118178930133581</v>
      </c>
      <c r="D35" s="12" t="n">
        <v>1093</v>
      </c>
      <c r="E35" s="18" t="n">
        <v>0.0427019856870174</v>
      </c>
      <c r="F35" s="20">
        <f>E35/C35</f>
        <v/>
      </c>
      <c r="G35" s="12" t="n">
        <v>351</v>
      </c>
      <c r="H35" s="18" t="n">
        <v>0.0221</v>
      </c>
      <c r="I35" s="10" t="inlineStr"/>
    </row>
    <row r="36">
      <c r="A36" s="10" t="inlineStr">
        <is>
          <t>Cardiomegaly</t>
        </is>
      </c>
      <c r="B36" s="18" t="n">
        <v>0.0196574497967958</v>
      </c>
      <c r="C36" s="18" t="n">
        <v>0.0201459396630525</v>
      </c>
      <c r="D36" s="12" t="n">
        <v>1069</v>
      </c>
      <c r="E36" s="18" t="n">
        <v>0.0417643375694751</v>
      </c>
      <c r="F36" s="20">
        <f>E36/C36</f>
        <v/>
      </c>
      <c r="G36" s="12" t="n">
        <v>367</v>
      </c>
      <c r="H36" s="18" t="n">
        <v>0.0231</v>
      </c>
      <c r="I36" s="10" t="inlineStr"/>
    </row>
    <row r="37">
      <c r="A37" s="10" t="inlineStr">
        <is>
          <t>Edema</t>
        </is>
      </c>
      <c r="B37" s="18" t="n">
        <v>0.0162481740117073</v>
      </c>
      <c r="C37" s="18" t="n">
        <v>0.0140387052670121</v>
      </c>
      <c r="D37" s="12" t="n">
        <v>925</v>
      </c>
      <c r="E37" s="18" t="n">
        <v>0.0361384600400924</v>
      </c>
      <c r="F37" s="20">
        <f>E37/C37</f>
        <v/>
      </c>
      <c r="G37" s="12" t="n">
        <v>343</v>
      </c>
      <c r="H37" s="18" t="n">
        <v>0.0215</v>
      </c>
      <c r="I37" s="10" t="inlineStr"/>
    </row>
    <row r="38">
      <c r="A38" s="10" t="inlineStr">
        <is>
          <t>Pneumonia</t>
        </is>
      </c>
      <c r="B38" s="18" t="n">
        <v>0.0100384224206209</v>
      </c>
      <c r="C38" s="18" t="n">
        <v>0.0106281721964478</v>
      </c>
      <c r="D38" s="12" t="n">
        <v>555</v>
      </c>
      <c r="E38" s="18" t="n">
        <v>0.0216830763965845</v>
      </c>
      <c r="F38" s="20">
        <f>E38/C38</f>
        <v/>
      </c>
      <c r="G38" s="12" t="n">
        <v>210</v>
      </c>
      <c r="H38" s="18" t="n">
        <v>0.0132</v>
      </c>
      <c r="I38" s="10" t="inlineStr"/>
    </row>
    <row r="39">
      <c r="A39" s="10" t="inlineStr">
        <is>
          <t>Fibrosis</t>
        </is>
      </c>
      <c r="B39" s="18" t="n">
        <v>0.0142188426107168</v>
      </c>
      <c r="C39" s="18" t="n">
        <v>0.0158629436045885</v>
      </c>
      <c r="D39" s="12" t="n">
        <v>435</v>
      </c>
      <c r="E39" s="18" t="n">
        <v>0.0169948432594537</v>
      </c>
      <c r="F39" s="20">
        <f>E39/C39</f>
        <v/>
      </c>
      <c r="G39" s="12" t="n">
        <v>228</v>
      </c>
      <c r="H39" s="18" t="n">
        <v>0.0143</v>
      </c>
      <c r="I39" s="10" t="inlineStr"/>
    </row>
    <row r="40">
      <c r="A40" s="10" t="inlineStr">
        <is>
          <t>Hernia</t>
        </is>
      </c>
      <c r="B40" s="18" t="n">
        <v>0.0015287623973563</v>
      </c>
      <c r="C40" s="18" t="n">
        <v>0.002220812253654</v>
      </c>
      <c r="D40" s="12" t="n">
        <v>86</v>
      </c>
      <c r="E40" s="18" t="n">
        <v>0.0033599000889807</v>
      </c>
      <c r="F40" s="20">
        <f>E40/C40</f>
        <v/>
      </c>
      <c r="G40" s="12" t="n">
        <v>62</v>
      </c>
      <c r="H40" s="18" t="n">
        <v>0.0039</v>
      </c>
      <c r="I40" s="10" t="inlineStr"/>
    </row>
    <row r="41" ht="26" customHeight="1">
      <c r="A41" s="3" t="inlineStr">
        <is>
          <t>Prevalence = share of images with the disease. The official test set has higher prevalence for every disease; Pneumothorax and Emphysema are 3–4x more common than in validation.</t>
        </is>
      </c>
    </row>
  </sheetData>
  <mergeCells count="13">
    <mergeCell ref="E17:H17"/>
    <mergeCell ref="A2:I2"/>
    <mergeCell ref="E18:H18"/>
    <mergeCell ref="A41:I41"/>
    <mergeCell ref="E20:H20"/>
    <mergeCell ref="A1:I1"/>
    <mergeCell ref="E16:H16"/>
    <mergeCell ref="E21:H21"/>
    <mergeCell ref="E15:H15"/>
    <mergeCell ref="A23:I23"/>
    <mergeCell ref="G6:H6"/>
    <mergeCell ref="E19:H19"/>
    <mergeCell ref="E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
  <sheetViews>
    <sheetView zoomScale="100" workbookViewId="0">
      <pane xSplit="1" ySplit="5" topLeftCell="B6"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20" customWidth="1" min="3" max="3"/>
    <col width="20" customWidth="1" min="4" max="4"/>
    <col width="20" customWidth="1" min="5" max="5"/>
    <col width="20" customWidth="1" min="6" max="6"/>
    <col width="20" customWidth="1" min="7" max="7"/>
    <col width="20" customWidth="1" min="8" max="8"/>
    <col width="30" customWidth="1" min="9" max="9"/>
    <col width="30" customWidth="1" min="10" max="10"/>
  </cols>
  <sheetData>
    <row r="1" ht="24" customHeight="1">
      <c r="A1" s="1" t="inlineStr">
        <is>
          <t>2. Model Details</t>
        </is>
      </c>
      <c r="B1" s="2" t="n"/>
      <c r="C1" s="2" t="n"/>
      <c r="D1" s="2" t="n"/>
      <c r="E1" s="2" t="n"/>
      <c r="F1" s="2" t="n"/>
      <c r="G1" s="2" t="n"/>
      <c r="H1" s="2" t="n"/>
      <c r="I1" s="2" t="n"/>
      <c r="J1" s="2" t="n"/>
    </row>
    <row r="2" ht="30" customHeight="1">
      <c r="A2" s="3" t="inlineStr">
        <is>
          <t>Columns B–H: team models (random split, sheet 3). Columns I–J: the two cascade models (official split, seed 42, sheets 4–5). The two groups were trained and tested on different splits.</t>
        </is>
      </c>
    </row>
    <row r="4">
      <c r="A4" s="8" t="inlineStr">
        <is>
          <t>A. Architecture and training setup</t>
        </is>
      </c>
      <c r="B4" s="9" t="n"/>
      <c r="C4" s="9" t="n"/>
      <c r="D4" s="9" t="n"/>
      <c r="E4" s="9" t="n"/>
      <c r="F4" s="9" t="n"/>
      <c r="G4" s="9" t="n"/>
      <c r="H4" s="9" t="n"/>
      <c r="I4" s="9" t="n"/>
      <c r="J4" s="9" t="n"/>
    </row>
    <row r="5" ht="45" customHeight="1">
      <c r="A5" s="5" t="inlineStr">
        <is>
          <t>Attribute</t>
        </is>
      </c>
      <c r="B5" s="5" t="inlineStr">
        <is>
          <t>Hasib</t>
        </is>
      </c>
      <c r="C5" s="5" t="inlineStr">
        <is>
          <t>Marjia</t>
        </is>
      </c>
      <c r="D5" s="5" t="inlineStr">
        <is>
          <t>Tanzil</t>
        </is>
      </c>
      <c r="E5" s="5" t="inlineStr">
        <is>
          <t>BioViL-T</t>
        </is>
      </c>
      <c r="F5" s="5" t="inlineStr">
        <is>
          <t>ConvNeXt-Base</t>
        </is>
      </c>
      <c r="G5" s="5" t="inlineStr">
        <is>
          <t>ConvNeXt-Small</t>
        </is>
      </c>
      <c r="H5" s="5" t="inlineStr">
        <is>
          <t>RAD-DINO</t>
        </is>
      </c>
      <c r="I5" s="5" t="inlineStr">
        <is>
          <t>Cascade stage 1: ConvNeXt-Tiny (official split, seed 42)</t>
        </is>
      </c>
      <c r="J5" s="5" t="inlineStr">
        <is>
          <t>Cascade stage 2: RAD-DINO (official split, seed 42)</t>
        </is>
      </c>
    </row>
    <row r="6">
      <c r="A6" s="10" t="inlineStr">
        <is>
          <t>Split / test set</t>
        </is>
      </c>
      <c r="B6" s="7" t="inlineStr">
        <is>
          <t>Random split, 15,917 test images</t>
        </is>
      </c>
      <c r="C6" s="7" t="inlineStr">
        <is>
          <t>Random split, 15,917 test images</t>
        </is>
      </c>
      <c r="D6" s="7" t="inlineStr">
        <is>
          <t>Random split, 15,917 test images</t>
        </is>
      </c>
      <c r="E6" s="7" t="inlineStr">
        <is>
          <t>Random split, 15,917 test images</t>
        </is>
      </c>
      <c r="F6" s="7" t="inlineStr">
        <is>
          <t>Random split, 15,917 test images</t>
        </is>
      </c>
      <c r="G6" s="7" t="inlineStr">
        <is>
          <t>Random split, 15,917 test images</t>
        </is>
      </c>
      <c r="H6" s="7" t="inlineStr">
        <is>
          <t>Random split, 15,917 test images</t>
        </is>
      </c>
      <c r="I6" s="21" t="inlineStr">
        <is>
          <t>Official NIH split, 25,596 test images</t>
        </is>
      </c>
      <c r="J6" s="21" t="inlineStr">
        <is>
          <t>Official NIH split, 25,596 test images</t>
        </is>
      </c>
    </row>
    <row r="7">
      <c r="A7" s="6" t="inlineStr">
        <is>
          <t>Dataset</t>
        </is>
      </c>
      <c r="B7" s="7" t="inlineStr">
        <is>
          <t>NIH ChestX-ray14</t>
        </is>
      </c>
      <c r="C7" s="7" t="inlineStr">
        <is>
          <t>NIH ChestX-ray14</t>
        </is>
      </c>
      <c r="D7" s="7" t="inlineStr">
        <is>
          <t>NIH ChestX-ray14</t>
        </is>
      </c>
      <c r="E7" s="7" t="inlineStr">
        <is>
          <t>NIH ChestX-ray14</t>
        </is>
      </c>
      <c r="F7" s="7" t="inlineStr">
        <is>
          <t>NIH ChestX-ray14</t>
        </is>
      </c>
      <c r="G7" s="7" t="inlineStr">
        <is>
          <t>NIH ChestX-ray14</t>
        </is>
      </c>
      <c r="H7" s="7" t="inlineStr">
        <is>
          <t>NIH ChestX-ray14</t>
        </is>
      </c>
      <c r="I7" s="7" t="inlineStr">
        <is>
          <t>NIH ChestX-ray14 (official split)</t>
        </is>
      </c>
      <c r="J7" s="7" t="inlineStr">
        <is>
          <t>NIH ChestX-ray14 (official split)</t>
        </is>
      </c>
    </row>
    <row r="8">
      <c r="A8" s="6" t="inlineStr">
        <is>
          <t>Backbone</t>
        </is>
      </c>
      <c r="B8" s="7" t="inlineStr">
        <is>
          <t>DenseNet-121</t>
        </is>
      </c>
      <c r="C8" s="7" t="inlineStr">
        <is>
          <t>ConvNeXt-Tiny</t>
        </is>
      </c>
      <c r="D8" s="7" t="inlineStr">
        <is>
          <t>DenseNet-121 (improved)</t>
        </is>
      </c>
      <c r="E8" s="7" t="inlineStr">
        <is>
          <t>BioViL-T (vision-language transformer)</t>
        </is>
      </c>
      <c r="F8" s="7" t="inlineStr">
        <is>
          <t>ConvNeXt-Base</t>
        </is>
      </c>
      <c r="G8" s="7" t="inlineStr">
        <is>
          <t>ConvNeXt-Small</t>
        </is>
      </c>
      <c r="H8" s="7" t="inlineStr">
        <is>
          <t>RAD-DINO (ViT-B, 12 blocks)</t>
        </is>
      </c>
      <c r="I8" s="7" t="inlineStr">
        <is>
          <t>ConvNeXt-Tiny (convnext_tiny.fb_in22k_ft_in1k)</t>
        </is>
      </c>
      <c r="J8" s="7" t="inlineStr">
        <is>
          <t>RAD-DINO (microsoft/rad-dino, ViT-B/14)</t>
        </is>
      </c>
    </row>
    <row r="9">
      <c r="A9" s="6" t="inlineStr">
        <is>
          <t>Library</t>
        </is>
      </c>
      <c r="B9" s="7" t="inlineStr">
        <is>
          <t>torchxrayvision</t>
        </is>
      </c>
      <c r="C9" s="7" t="inlineStr">
        <is>
          <t>timm</t>
        </is>
      </c>
      <c r="D9" s="7" t="inlineStr">
        <is>
          <t>torchxrayvision</t>
        </is>
      </c>
      <c r="E9" s="7" t="inlineStr">
        <is>
          <t>Not stated in source</t>
        </is>
      </c>
      <c r="F9" s="7" t="inlineStr">
        <is>
          <t>timm</t>
        </is>
      </c>
      <c r="G9" s="7" t="inlineStr">
        <is>
          <t>timm 1.0.26</t>
        </is>
      </c>
      <c r="H9" s="7" t="inlineStr">
        <is>
          <t>HuggingFace</t>
        </is>
      </c>
      <c r="I9" s="7" t="inlineStr">
        <is>
          <t>timm</t>
        </is>
      </c>
      <c r="J9" s="7" t="inlineStr">
        <is>
          <t>HuggingFace transformers</t>
        </is>
      </c>
    </row>
    <row r="10">
      <c r="A10" s="6" t="inlineStr">
        <is>
          <t>Pre-training data</t>
        </is>
      </c>
      <c r="B10" s="7" t="inlineStr">
        <is>
          <t>Chest X-rays (NIH + other CXR sources)</t>
        </is>
      </c>
      <c r="C10" s="7" t="inlineStr">
        <is>
          <t>ImageNet-22k then ImageNet-1k</t>
        </is>
      </c>
      <c r="D10" s="7" t="inlineStr">
        <is>
          <t>Chest X-rays (NIH + CheXpert + MIMIC + PadChest + RSNA + OpenI)</t>
        </is>
      </c>
      <c r="E10" s="7" t="inlineStr">
        <is>
          <t>Vision-language pre-training on biomedical image + text data</t>
        </is>
      </c>
      <c r="F10" s="7" t="inlineStr">
        <is>
          <t>ImageNet-22k then ImageNet-1k</t>
        </is>
      </c>
      <c r="G10" s="7" t="inlineStr">
        <is>
          <t>ImageNet-22k then ImageNet-1k at 384px</t>
        </is>
      </c>
      <c r="H10" s="7" t="inlineStr">
        <is>
          <t>Self-supervised DINOv2 on chest X-rays</t>
        </is>
      </c>
      <c r="I10" s="7" t="inlineStr">
        <is>
          <t>ImageNet-22k then ImageNet-1k</t>
        </is>
      </c>
      <c r="J10" s="7" t="inlineStr">
        <is>
          <t>Self-supervised DINOv2 on chest X-rays</t>
        </is>
      </c>
    </row>
    <row r="11">
      <c r="A11" s="6" t="inlineStr">
        <is>
          <t>Feature dimension</t>
        </is>
      </c>
      <c r="B11" s="22" t="n">
        <v>1024</v>
      </c>
      <c r="C11" s="23" t="n">
        <v>768</v>
      </c>
      <c r="D11" s="22" t="n">
        <v>1024</v>
      </c>
      <c r="E11" s="23" t="n">
        <v>512</v>
      </c>
      <c r="F11" s="22" t="n">
        <v>1792</v>
      </c>
      <c r="G11" s="7" t="inlineStr">
        <is>
          <t>768 (1536 after dual pooling)</t>
        </is>
      </c>
      <c r="H11" s="7" t="inlineStr">
        <is>
          <t>768 (1536 after dual pooling)</t>
        </is>
      </c>
      <c r="I11" s="7" t="inlineStr">
        <is>
          <t>768</t>
        </is>
      </c>
      <c r="J11" s="7" t="inlineStr">
        <is>
          <t>1536 (CLS + mean of patch tokens)</t>
        </is>
      </c>
    </row>
    <row r="12">
      <c r="A12" s="6" t="inlineStr">
        <is>
          <t>Input channels</t>
        </is>
      </c>
      <c r="B12" s="7" t="inlineStr">
        <is>
          <t>1 (grayscale)</t>
        </is>
      </c>
      <c r="C12" s="7" t="inlineStr">
        <is>
          <t>3 (RGB)</t>
        </is>
      </c>
      <c r="D12" s="7" t="inlineStr">
        <is>
          <t>1 (grayscale)</t>
        </is>
      </c>
      <c r="E12" s="7" t="inlineStr">
        <is>
          <t>Not stated in source</t>
        </is>
      </c>
      <c r="F12" s="7" t="inlineStr">
        <is>
          <t>Not stated in source</t>
        </is>
      </c>
      <c r="G12" s="7" t="inlineStr">
        <is>
          <t>3 (RGB)</t>
        </is>
      </c>
      <c r="H12" s="7" t="inlineStr">
        <is>
          <t>3 (RGB)</t>
        </is>
      </c>
      <c r="I12" s="7" t="inlineStr">
        <is>
          <t>3 (grayscale replicated)</t>
        </is>
      </c>
      <c r="J12" s="7" t="inlineStr">
        <is>
          <t>3 (grayscale replicated)</t>
        </is>
      </c>
    </row>
    <row r="13">
      <c r="A13" s="6" t="inlineStr">
        <is>
          <t>Input size</t>
        </is>
      </c>
      <c r="B13" s="7" t="inlineStr">
        <is>
          <t>Not stated in source</t>
        </is>
      </c>
      <c r="C13" s="7" t="inlineStr">
        <is>
          <t>Not stated in source</t>
        </is>
      </c>
      <c r="D13" s="7" t="inlineStr">
        <is>
          <t>Not stated in source</t>
        </is>
      </c>
      <c r="E13" s="7" t="inlineStr">
        <is>
          <t>448 x 448</t>
        </is>
      </c>
      <c r="F13" s="7" t="inlineStr">
        <is>
          <t>380 x 380</t>
        </is>
      </c>
      <c r="G13" s="7" t="inlineStr">
        <is>
          <t>384 x 384</t>
        </is>
      </c>
      <c r="H13" s="7" t="inlineStr">
        <is>
          <t>518 x 518</t>
        </is>
      </c>
      <c r="I13" s="7" t="inlineStr">
        <is>
          <t>384 x 384</t>
        </is>
      </c>
      <c r="J13" s="7" t="inlineStr">
        <is>
          <t>518 x 518</t>
        </is>
      </c>
    </row>
    <row r="14">
      <c r="A14" s="6" t="inlineStr">
        <is>
          <t>Preprocessing</t>
        </is>
      </c>
      <c r="B14" s="7" t="inlineStr">
        <is>
          <t>xrv normalization</t>
        </is>
      </c>
      <c r="C14" s="7" t="inlineStr">
        <is>
          <t>ImageNet normalization</t>
        </is>
      </c>
      <c r="D14" s="7" t="inlineStr">
        <is>
          <t>xrv custom normalization</t>
        </is>
      </c>
      <c r="E14" s="7" t="inlineStr">
        <is>
          <t>Not stated in source</t>
        </is>
      </c>
      <c r="F14" s="7" t="inlineStr">
        <is>
          <t>Not stated in source</t>
        </is>
      </c>
      <c r="G14" s="7" t="inlineStr">
        <is>
          <t>ImageNet normalization</t>
        </is>
      </c>
      <c r="H14" s="7" t="inlineStr">
        <is>
          <t>RAD-DINO normalization (mean 0.5307, std 0.2583)</t>
        </is>
      </c>
      <c r="I14" s="7" t="inlineStr">
        <is>
          <t>ImageNet normalization</t>
        </is>
      </c>
      <c r="J14" s="7" t="inlineStr">
        <is>
          <t>RAD-DINO normalization (mean 0.5307, std 0.2583)</t>
        </is>
      </c>
    </row>
    <row r="15">
      <c r="A15" s="6" t="inlineStr">
        <is>
          <t>Classification head</t>
        </is>
      </c>
      <c r="B15" s="7" t="inlineStr">
        <is>
          <t>Custom 14-way</t>
        </is>
      </c>
      <c r="C15" s="7" t="inlineStr">
        <is>
          <t>Custom 14-way</t>
        </is>
      </c>
      <c r="D15" s="7" t="inlineStr">
        <is>
          <t>Custom 14-way</t>
        </is>
      </c>
      <c r="E15" s="7" t="inlineStr">
        <is>
          <t>Custom 14-way</t>
        </is>
      </c>
      <c r="F15" s="7" t="inlineStr">
        <is>
          <t>Custom 14-way</t>
        </is>
      </c>
      <c r="G15" s="7" t="inlineStr">
        <is>
          <t>Custom 14-way</t>
        </is>
      </c>
      <c r="H15" s="7" t="inlineStr">
        <is>
          <t>Custom 14-way</t>
        </is>
      </c>
      <c r="I15" s="7" t="inlineStr">
        <is>
          <t>Dropout (0.2) + linear → 14 logits</t>
        </is>
      </c>
      <c r="J15" s="7" t="inlineStr">
        <is>
          <t>Linear → 14 logits</t>
        </is>
      </c>
    </row>
    <row r="16">
      <c r="A16" s="6" t="inlineStr">
        <is>
          <t>Loss function</t>
        </is>
      </c>
      <c r="B16" s="7" t="inlineStr">
        <is>
          <t>BCEWithLogitsLoss</t>
        </is>
      </c>
      <c r="C16" s="7" t="inlineStr">
        <is>
          <t>BCEWithLogitsLoss</t>
        </is>
      </c>
      <c r="D16" s="7" t="inlineStr">
        <is>
          <t>Class-weighted BCEWithLogitsLoss</t>
        </is>
      </c>
      <c r="E16" s="7" t="inlineStr">
        <is>
          <t>Not stated in source</t>
        </is>
      </c>
      <c r="F16" s="7" t="inlineStr">
        <is>
          <t>Not stated in source</t>
        </is>
      </c>
      <c r="G16" s="7" t="inlineStr">
        <is>
          <t>AsymmetricLoss (g_neg=4, g_pos=1, clip=0.05)</t>
        </is>
      </c>
      <c r="H16" s="7" t="inlineStr">
        <is>
          <t>AsymmetricLoss (g_neg=4, g_pos=1, clip=0.05)</t>
        </is>
      </c>
      <c r="I16" s="7" t="inlineStr">
        <is>
          <t>AsymmetricLoss (g_neg=4, g_pos=1, clip=0.05)</t>
        </is>
      </c>
      <c r="J16" s="7" t="inlineStr">
        <is>
          <t>AsymmetricLoss (g_neg=4, g_pos=1, clip=0.05)</t>
        </is>
      </c>
    </row>
    <row r="17">
      <c r="A17" s="6" t="inlineStr">
        <is>
          <t>Training scheme</t>
        </is>
      </c>
      <c r="B17" s="7" t="inlineStr">
        <is>
          <t>Single-phase</t>
        </is>
      </c>
      <c r="C17" s="7" t="inlineStr">
        <is>
          <t>Single-phase</t>
        </is>
      </c>
      <c r="D17" s="7" t="inlineStr">
        <is>
          <t>Two-phase (warmup then fine-tune)</t>
        </is>
      </c>
      <c r="E17" s="7" t="inlineStr">
        <is>
          <t>Two-phase (warmup then fine-tune)</t>
        </is>
      </c>
      <c r="F17" s="7" t="inlineStr">
        <is>
          <t>Two-phase (warmup then fine-tune)</t>
        </is>
      </c>
      <c r="G17" s="7" t="inlineStr">
        <is>
          <t>Two-phase (2 warmup, then last 2 of 4 stages)</t>
        </is>
      </c>
      <c r="H17" s="7" t="inlineStr">
        <is>
          <t>Two-phase (3 warmup, then last 8 of 12 ViT blocks)</t>
        </is>
      </c>
      <c r="I17" s="7" t="inlineStr">
        <is>
          <t>1 warmup epoch (head only, LR 1e-3), then full fine-tuning (head 1e-4, backbone 1e-4), up to 8 epochs</t>
        </is>
      </c>
      <c r="J17" s="7" t="inlineStr">
        <is>
          <t>2 warmup epochs (head only, LR 1e-3), then last 8 of 12 blocks with layer-wise LR decay 0.8 (backbone 2e-5, head 2e-4), up to 4 epochs, EMA 0.999</t>
        </is>
      </c>
    </row>
    <row r="18">
      <c r="A18" s="6" t="inlineStr">
        <is>
          <t>Optimizer / regularization</t>
        </is>
      </c>
      <c r="B18" s="7" t="inlineStr">
        <is>
          <t>Not stated in source</t>
        </is>
      </c>
      <c r="C18" s="7" t="inlineStr">
        <is>
          <t>Not stated in source</t>
        </is>
      </c>
      <c r="D18" s="7" t="inlineStr">
        <is>
          <t>Not stated in source</t>
        </is>
      </c>
      <c r="E18" s="7" t="inlineStr">
        <is>
          <t>Not stated in source</t>
        </is>
      </c>
      <c r="F18" s="7" t="inlineStr">
        <is>
          <t>Not stated in source</t>
        </is>
      </c>
      <c r="G18" s="7" t="inlineStr">
        <is>
          <t>Not stated in source</t>
        </is>
      </c>
      <c r="H18" s="7" t="inlineStr">
        <is>
          <t>Not stated in source</t>
        </is>
      </c>
      <c r="I18" s="7" t="inlineStr">
        <is>
          <t>AdamW, weight decay 0.05, cosine schedule, drop-path 0.1, grad clip 1.0, fp16, early stop on val macro AUROC (patience 2)</t>
        </is>
      </c>
      <c r="J18" s="7" t="inlineStr">
        <is>
          <t>Same as ConvNeXt-Tiny, plus EMA of weights (0.999)</t>
        </is>
      </c>
    </row>
    <row r="19">
      <c r="A19" s="6" t="inlineStr">
        <is>
          <t>Augmentation</t>
        </is>
      </c>
      <c r="B19" s="7" t="inlineStr">
        <is>
          <t>Not stated in source</t>
        </is>
      </c>
      <c r="C19" s="7" t="inlineStr">
        <is>
          <t>Not stated in source</t>
        </is>
      </c>
      <c r="D19" s="7" t="inlineStr">
        <is>
          <t>Not stated in source</t>
        </is>
      </c>
      <c r="E19" s="7" t="inlineStr">
        <is>
          <t>Not stated in source</t>
        </is>
      </c>
      <c r="F19" s="7" t="inlineStr">
        <is>
          <t>Not stated in source</t>
        </is>
      </c>
      <c r="G19" s="7" t="inlineStr">
        <is>
          <t>Not stated in source</t>
        </is>
      </c>
      <c r="H19" s="7" t="inlineStr">
        <is>
          <t>Not stated in source</t>
        </is>
      </c>
      <c r="I19" s="7" t="inlineStr">
        <is>
          <t>Random resized crop (0.85–1.0), horizontal flip, ±7° rotation (p 0.5), brightness/contrast ±0.1. No TTA.</t>
        </is>
      </c>
      <c r="J19" s="7" t="inlineStr">
        <is>
          <t>Same as ConvNeXt-Tiny. No TTA.</t>
        </is>
      </c>
    </row>
    <row r="20">
      <c r="A20" s="6" t="inlineStr">
        <is>
          <t>Calibration</t>
        </is>
      </c>
      <c r="B20" s="7" t="inlineStr">
        <is>
          <t>Temperature scaling</t>
        </is>
      </c>
      <c r="C20" s="7" t="inlineStr">
        <is>
          <t>Temperature scaling</t>
        </is>
      </c>
      <c r="D20" s="7" t="inlineStr">
        <is>
          <t>Temperature scaling</t>
        </is>
      </c>
      <c r="E20" s="7" t="inlineStr">
        <is>
          <t>Temperature scaling</t>
        </is>
      </c>
      <c r="F20" s="7" t="inlineStr">
        <is>
          <t>Temperature scaling</t>
        </is>
      </c>
      <c r="G20" s="7" t="inlineStr">
        <is>
          <t>Temperature scaling</t>
        </is>
      </c>
      <c r="H20" s="7" t="inlineStr">
        <is>
          <t>Temperature scaling</t>
        </is>
      </c>
      <c r="I20" s="7" t="inlineStr">
        <is>
          <t>Per-class Platt scaling</t>
        </is>
      </c>
      <c r="J20" s="7" t="inlineStr">
        <is>
          <t>Per-class Platt scaling</t>
        </is>
      </c>
    </row>
    <row r="21">
      <c r="A21" s="6" t="inlineStr">
        <is>
          <t>Calibrated temperature</t>
        </is>
      </c>
      <c r="B21" s="7" t="inlineStr">
        <is>
          <t>n/r</t>
        </is>
      </c>
      <c r="C21" s="7" t="inlineStr">
        <is>
          <t>n/r</t>
        </is>
      </c>
      <c r="D21" s="23" t="n">
        <v>0.6821</v>
      </c>
      <c r="E21" s="23" t="n">
        <v>0.6971000000000001</v>
      </c>
      <c r="F21" s="23" t="n">
        <v>1.9554</v>
      </c>
      <c r="G21" s="23" t="n">
        <v>1.2052</v>
      </c>
      <c r="H21" s="23" t="n">
        <v>1.1278</v>
      </c>
      <c r="I21" s="7" t="inlineStr">
        <is>
          <t>n/a (per-class Platt)</t>
        </is>
      </c>
      <c r="J21" s="7" t="inlineStr">
        <is>
          <t>n/a (per-class Platt)</t>
        </is>
      </c>
    </row>
    <row r="22">
      <c r="A22" s="6" t="inlineStr">
        <is>
          <t>Thresholding</t>
        </is>
      </c>
      <c r="B22" s="7" t="inlineStr">
        <is>
          <t>Fixed at 0.50</t>
        </is>
      </c>
      <c r="C22" s="7" t="inlineStr">
        <is>
          <t>Tuned per class</t>
        </is>
      </c>
      <c r="D22" s="7" t="inlineStr">
        <is>
          <t>Tuned per class</t>
        </is>
      </c>
      <c r="E22" s="7" t="inlineStr">
        <is>
          <t>Tuned per class (0.50 report also given)</t>
        </is>
      </c>
      <c r="F22" s="7" t="inlineStr">
        <is>
          <t>Tuned per class (0.50 report also given)</t>
        </is>
      </c>
      <c r="G22" s="7" t="inlineStr">
        <is>
          <t>Five strategies compared</t>
        </is>
      </c>
      <c r="H22" s="7" t="inlineStr">
        <is>
          <t>Five strategies compared</t>
        </is>
      </c>
      <c r="I22" s="7" t="inlineStr">
        <is>
          <t>Per-class, tuned on validation to maximise F1</t>
        </is>
      </c>
      <c r="J22" s="7" t="inlineStr">
        <is>
          <t>Per-class, tuned on validation to maximise F1</t>
        </is>
      </c>
    </row>
    <row r="23">
      <c r="A23" s="6" t="inlineStr">
        <is>
          <t>Total parameters</t>
        </is>
      </c>
      <c r="B23" s="7" t="inlineStr">
        <is>
          <t>n/r</t>
        </is>
      </c>
      <c r="C23" s="7" t="inlineStr">
        <is>
          <t>n/r</t>
        </is>
      </c>
      <c r="D23" s="7" t="inlineStr">
        <is>
          <t>n/r</t>
        </is>
      </c>
      <c r="E23" s="7" t="inlineStr">
        <is>
          <t>n/r</t>
        </is>
      </c>
      <c r="F23" s="7" t="inlineStr">
        <is>
          <t>n/r</t>
        </is>
      </c>
      <c r="G23" s="22" t="n">
        <v>49479279</v>
      </c>
      <c r="H23" s="22" t="n">
        <v>86605071</v>
      </c>
      <c r="I23" s="22" t="n">
        <v>27830894</v>
      </c>
      <c r="J23" s="22" t="n">
        <v>86601998</v>
      </c>
    </row>
    <row r="24">
      <c r="A24" s="6" t="inlineStr">
        <is>
          <t>Trainable parameters</t>
        </is>
      </c>
      <c r="B24" s="7" t="inlineStr">
        <is>
          <t>n/r</t>
        </is>
      </c>
      <c r="C24" s="7" t="inlineStr">
        <is>
          <t>n/r</t>
        </is>
      </c>
      <c r="D24" s="7" t="inlineStr">
        <is>
          <t>n/r</t>
        </is>
      </c>
      <c r="E24" s="22" t="n">
        <v>27357111</v>
      </c>
      <c r="F24" s="22" t="n">
        <v>17573719</v>
      </c>
      <c r="G24" s="22" t="n">
        <v>48244239</v>
      </c>
      <c r="H24" s="22" t="n">
        <v>56741391</v>
      </c>
      <c r="I24" s="22" t="n">
        <v>27830894</v>
      </c>
      <c r="J24" s="22" t="n">
        <v>56738318</v>
      </c>
    </row>
    <row r="25">
      <c r="A25" s="6" t="inlineStr">
        <is>
          <t>Batch size</t>
        </is>
      </c>
      <c r="B25" s="7" t="inlineStr">
        <is>
          <t>n/r</t>
        </is>
      </c>
      <c r="C25" s="7" t="inlineStr">
        <is>
          <t>n/r</t>
        </is>
      </c>
      <c r="D25" s="7" t="inlineStr">
        <is>
          <t>n/r</t>
        </is>
      </c>
      <c r="E25" s="23" t="n">
        <v>12</v>
      </c>
      <c r="F25" s="23" t="n">
        <v>16</v>
      </c>
      <c r="G25" s="23" t="n">
        <v>16</v>
      </c>
      <c r="H25" s="23" t="n">
        <v>12</v>
      </c>
      <c r="I25" s="23" t="n">
        <v>32</v>
      </c>
      <c r="J25" s="23" t="n">
        <v>12</v>
      </c>
    </row>
    <row r="26">
      <c r="A26" s="6" t="inlineStr">
        <is>
          <t>Warmup epochs</t>
        </is>
      </c>
      <c r="B26" s="7" t="inlineStr">
        <is>
          <t>n/r</t>
        </is>
      </c>
      <c r="C26" s="7" t="inlineStr">
        <is>
          <t>n/r</t>
        </is>
      </c>
      <c r="D26" s="7" t="inlineStr">
        <is>
          <t>n/r</t>
        </is>
      </c>
      <c r="E26" s="23" t="n">
        <v>4</v>
      </c>
      <c r="F26" s="23" t="n">
        <v>4</v>
      </c>
      <c r="G26" s="23" t="n">
        <v>2</v>
      </c>
      <c r="H26" s="23" t="n">
        <v>3</v>
      </c>
      <c r="I26" s="23" t="n">
        <v>1</v>
      </c>
      <c r="J26" s="23" t="n">
        <v>2</v>
      </c>
    </row>
    <row r="27">
      <c r="A27" s="6" t="inlineStr">
        <is>
          <t>Fine-tune epochs</t>
        </is>
      </c>
      <c r="B27" s="7" t="inlineStr">
        <is>
          <t>n/r</t>
        </is>
      </c>
      <c r="C27" s="7" t="inlineStr">
        <is>
          <t>n/r</t>
        </is>
      </c>
      <c r="D27" s="7" t="inlineStr">
        <is>
          <t>n/r</t>
        </is>
      </c>
      <c r="E27" s="23" t="n">
        <v>6</v>
      </c>
      <c r="F27" s="23" t="n">
        <v>6</v>
      </c>
      <c r="G27" s="7" t="inlineStr">
        <is>
          <t>3 (early stop)</t>
        </is>
      </c>
      <c r="H27" s="7" t="inlineStr">
        <is>
          <t>3 (early stop)</t>
        </is>
      </c>
      <c r="I27" s="7" t="inlineStr">
        <is>
          <t>8 epochs run (1 warm-up + 7 fine-tune, early stop); best = epoch 6</t>
        </is>
      </c>
      <c r="J27" s="7" t="inlineStr">
        <is>
          <t>6 epochs run (2 warm-up + 4 fine-tune); best = epoch 4</t>
        </is>
      </c>
    </row>
    <row r="28">
      <c r="A28" s="6" t="inlineStr">
        <is>
          <t>Best validation macro AUROC</t>
        </is>
      </c>
      <c r="B28" s="7" t="inlineStr">
        <is>
          <t>n/r</t>
        </is>
      </c>
      <c r="C28" s="7" t="inlineStr">
        <is>
          <t>n/r</t>
        </is>
      </c>
      <c r="D28" s="7" t="inlineStr">
        <is>
          <t>n/r</t>
        </is>
      </c>
      <c r="E28" s="23" t="n">
        <v>0.8274</v>
      </c>
      <c r="F28" s="23" t="n">
        <v>0.8082</v>
      </c>
      <c r="G28" s="23" t="n">
        <v>0.7982</v>
      </c>
      <c r="H28" s="23" t="n">
        <v>0.8483000000000001</v>
      </c>
      <c r="I28" s="24" t="n">
        <v>0.859775255039285</v>
      </c>
      <c r="J28" s="24" t="n">
        <v>0.865113145281588</v>
      </c>
    </row>
    <row r="29">
      <c r="A29" s="6" t="inlineStr">
        <is>
          <t>Test macro AUROC</t>
        </is>
      </c>
      <c r="B29" s="23" t="n">
        <v>0.76</v>
      </c>
      <c r="C29" s="23" t="n">
        <v>0.831</v>
      </c>
      <c r="D29" s="23" t="n">
        <v>0.8129999999999999</v>
      </c>
      <c r="E29" s="23" t="n">
        <v>0.836</v>
      </c>
      <c r="F29" s="23" t="n">
        <v>0.819</v>
      </c>
      <c r="G29" s="23" t="n">
        <v>0.8061</v>
      </c>
      <c r="H29" s="23" t="n">
        <v>0.8512999999999999</v>
      </c>
      <c r="I29" s="24" t="n">
        <v>0.8263038941946353</v>
      </c>
      <c r="J29" s="24" t="n">
        <v>0.8363861099522785</v>
      </c>
    </row>
    <row r="30">
      <c r="A30" s="6" t="inlineStr">
        <is>
          <t>Total training time</t>
        </is>
      </c>
      <c r="B30" s="7" t="inlineStr">
        <is>
          <t>n/r</t>
        </is>
      </c>
      <c r="C30" s="7" t="inlineStr">
        <is>
          <t>n/r</t>
        </is>
      </c>
      <c r="D30" s="7" t="inlineStr">
        <is>
          <t>n/r</t>
        </is>
      </c>
      <c r="E30" s="7" t="inlineStr">
        <is>
          <t>n/r</t>
        </is>
      </c>
      <c r="F30" s="7" t="inlineStr">
        <is>
          <t>n/r</t>
        </is>
      </c>
      <c r="G30" s="7" t="inlineStr">
        <is>
          <t>7,655 s (~2.1 h)</t>
        </is>
      </c>
      <c r="H30" s="7" t="inlineStr">
        <is>
          <t>26,749 s (~7.4 h) + 940 s to collect logits</t>
        </is>
      </c>
      <c r="I30" s="7" t="inlineStr">
        <is>
          <t>2.77 h</t>
        </is>
      </c>
      <c r="J30" s="7" t="inlineStr">
        <is>
          <t>6.56 h</t>
        </is>
      </c>
    </row>
    <row r="31">
      <c r="A31" s="6" t="inlineStr">
        <is>
          <t>Inference time (ms/image, T4, batch 32)</t>
        </is>
      </c>
      <c r="B31" s="7" t="inlineStr">
        <is>
          <t>n/r</t>
        </is>
      </c>
      <c r="C31" s="7" t="inlineStr">
        <is>
          <t>n/r</t>
        </is>
      </c>
      <c r="D31" s="7" t="inlineStr">
        <is>
          <t>n/r</t>
        </is>
      </c>
      <c r="E31" s="7" t="inlineStr">
        <is>
          <t>n/r</t>
        </is>
      </c>
      <c r="F31" s="7" t="inlineStr">
        <is>
          <t>n/r</t>
        </is>
      </c>
      <c r="G31" s="7" t="inlineStr">
        <is>
          <t>n/r</t>
        </is>
      </c>
      <c r="H31" s="7" t="inlineStr">
        <is>
          <t>n/r</t>
        </is>
      </c>
      <c r="I31" s="25" t="n">
        <v>4.009511470794678</v>
      </c>
      <c r="J31" s="25" t="n">
        <v>22.84938526153564</v>
      </c>
    </row>
    <row r="32">
      <c r="A32" s="6" t="inlineStr">
        <is>
          <t>Test set size (images)</t>
        </is>
      </c>
      <c r="B32" s="22" t="n">
        <v>15917</v>
      </c>
      <c r="C32" s="22" t="n">
        <v>15917</v>
      </c>
      <c r="D32" s="22" t="n">
        <v>15917</v>
      </c>
      <c r="E32" s="22" t="n">
        <v>15917</v>
      </c>
      <c r="F32" s="22" t="n">
        <v>15917</v>
      </c>
      <c r="G32" s="22" t="n">
        <v>15917</v>
      </c>
      <c r="H32" s="22" t="n">
        <v>15917</v>
      </c>
      <c r="I32" s="22" t="n">
        <v>25596</v>
      </c>
      <c r="J32" s="22" t="n">
        <v>25596</v>
      </c>
    </row>
    <row r="33">
      <c r="A33" s="6" t="inlineStr">
        <is>
          <t>Source notebook</t>
        </is>
      </c>
      <c r="B33" s="7" t="inlineStr">
        <is>
          <t>https://www.kaggle.com/code/hasibulhossain293/xrvlm-densenet-xrv-fulldata</t>
        </is>
      </c>
      <c r="C33" s="7" t="inlineStr">
        <is>
          <t>https://www.kaggle.com/code/marjiaislam/convnext-tiny</t>
        </is>
      </c>
      <c r="D33" s="7" t="inlineStr">
        <is>
          <t>https://www.kaggle.com/code/ashrafulislamtanzil/data-mining/edit/run/340283180</t>
        </is>
      </c>
      <c r="E33" s="7" t="inlineStr">
        <is>
          <t>https://www.kaggle.com/code/marjiaislam/biovil-t</t>
        </is>
      </c>
      <c r="F33" s="7" t="inlineStr">
        <is>
          <t>https://www.kaggle.com/code/ashrafulislamtanzil/test2</t>
        </is>
      </c>
      <c r="G33" s="7" t="inlineStr">
        <is>
          <t>https://www.kaggle.com/code/marjiaislam/convnext-small</t>
        </is>
      </c>
      <c r="H33" s="7" t="inlineStr">
        <is>
          <t>https://www.kaggle.com/code/marjiaislam/rad-dino-v2</t>
        </is>
      </c>
      <c r="I33" s="7" t="inlineStr">
        <is>
          <t>https://www.kaggle.com/code/hasibulhossain293/notebooka74861b945</t>
        </is>
      </c>
      <c r="J33" s="7" t="inlineStr">
        <is>
          <t>https://www.kaggle.com/code/hasibulhossain293/notebooka74861b945</t>
        </is>
      </c>
    </row>
    <row r="35" ht="91" customHeight="1">
      <c r="A35" s="3" t="inlineStr">
        <is>
          <t>Tanzil's DenseNet-121 link is a private '/edit/run/...' editor URL, so it only opens for people with edit access. ConvNeXt-Base reports only 17.6M trainable parameters, far below a full ConvNeXt-Base, so part of the backbone was likely frozen. The cascade stages are described in sheet 5. Green-header columns K and L are the official NIH split runs (mean of seeds 42, 43, 44; inference time measured at batch 32 on a T4, fp16). Their numbers are not comparable with the other columns, which use different random splits. Cascade timing: forward pass only, fp16, Tesla T4, median of 3 repeats (timing_*.json, Kaggle session T, 2026-09-24). At batch 1: ConvNeXt-Tiny 11.4 ms, RAD-DINO 22.2 ms.</t>
        </is>
      </c>
    </row>
  </sheetData>
  <mergeCells count="3">
    <mergeCell ref="A1:J1"/>
    <mergeCell ref="A35:J35"/>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99"/>
  <sheetViews>
    <sheetView zoomScale="100" workbookViewId="0">
      <pane ySplit="3" topLeftCell="A4" activePane="bottomLeft" state="frozen"/>
      <selection pane="bottomLeft" activeCell="A1" sqref="A1"/>
    </sheetView>
  </sheetViews>
  <sheetFormatPr baseColWidth="8" defaultRowHeight="15"/>
  <cols>
    <col width="30" customWidth="1" min="1" max="1"/>
    <col width="16" customWidth="1" min="2" max="2"/>
    <col width="22" customWidth="1" min="3" max="3"/>
    <col width="11" customWidth="1" min="4" max="4"/>
    <col width="11" customWidth="1" min="5" max="5"/>
    <col width="11" customWidth="1" min="6" max="6"/>
    <col width="11" customWidth="1" min="7" max="7"/>
    <col width="11" customWidth="1" min="8" max="8"/>
    <col width="11" customWidth="1" min="9" max="9"/>
    <col width="22" customWidth="1" min="10" max="10"/>
    <col width="11" customWidth="1" min="11" max="11"/>
    <col width="11" customWidth="1" min="12" max="12"/>
    <col width="11" customWidth="1" min="13" max="13"/>
    <col width="11" customWidth="1" min="14" max="14"/>
    <col width="11" customWidth="1" min="15" max="15"/>
    <col width="11" customWidth="1" min="16" max="16"/>
  </cols>
  <sheetData>
    <row r="1" ht="24" customHeight="1">
      <c r="A1" s="1" t="inlineStr">
        <is>
          <t>3. Team Models — random split benchmark (condensed)</t>
        </is>
      </c>
      <c r="B1" s="2" t="n"/>
      <c r="C1" s="2" t="n"/>
      <c r="D1" s="2" t="n"/>
      <c r="E1" s="2" t="n"/>
      <c r="F1" s="2" t="n"/>
      <c r="G1" s="2" t="n"/>
      <c r="H1" s="2" t="n"/>
      <c r="I1" s="2" t="n"/>
      <c r="J1" s="2" t="n"/>
      <c r="K1" s="2" t="n"/>
      <c r="L1" s="2" t="n"/>
      <c r="M1" s="2" t="n"/>
      <c r="N1" s="2" t="n"/>
      <c r="O1" s="2" t="n"/>
      <c r="P1" s="2" t="n"/>
    </row>
    <row r="2" ht="30" customHeight="1">
      <c r="A2" s="3" t="inlineStr">
        <is>
          <t>Seven team models plus a logit-average ensemble, all tested on the same random-split test set (15,917 images). Values as reported in each model's notebook/log (not recomputed from predictions). n/r = not reported.</t>
        </is>
      </c>
    </row>
    <row r="3" ht="42" customHeight="1">
      <c r="A3" s="4" t="inlineStr">
        <is>
          <t>Different split from sheets 4–5. These numbers must not be compared with the official-split results: the official test set is harder (e.g. RAD-DINO: 0.851 here vs 0.836 on the official test).</t>
        </is>
      </c>
    </row>
    <row r="5">
      <c r="A5" s="8" t="inlineStr">
        <is>
          <t>A. Headline benchmark</t>
        </is>
      </c>
      <c r="B5" s="9" t="n"/>
      <c r="C5" s="9" t="n"/>
      <c r="D5" s="9" t="n"/>
      <c r="E5" s="9" t="n"/>
      <c r="F5" s="9" t="n"/>
      <c r="G5" s="9" t="n"/>
      <c r="H5" s="9" t="n"/>
      <c r="I5" s="9" t="n"/>
      <c r="J5" s="9" t="n"/>
      <c r="K5" s="9" t="n"/>
      <c r="L5" s="9" t="n"/>
      <c r="M5" s="9" t="n"/>
      <c r="N5" s="9" t="n"/>
      <c r="O5" s="9" t="n"/>
      <c r="P5" s="9" t="n"/>
    </row>
    <row r="6" ht="45" customHeight="1">
      <c r="A6" s="5" t="inlineStr">
        <is>
          <t>Model</t>
        </is>
      </c>
      <c r="B6" s="5" t="inlineStr">
        <is>
          <t>Type</t>
        </is>
      </c>
      <c r="C6" s="5" t="inlineStr">
        <is>
          <t>Pre-training</t>
        </is>
      </c>
      <c r="D6" s="5" t="inlineStr">
        <is>
          <t>Macro AUROC</t>
        </is>
      </c>
      <c r="E6" s="5" t="inlineStr">
        <is>
          <t>Macro F1</t>
        </is>
      </c>
      <c r="F6" s="5" t="inlineStr">
        <is>
          <t>Micro F1</t>
        </is>
      </c>
      <c r="G6" s="5" t="inlineStr">
        <is>
          <t>Weighted F1</t>
        </is>
      </c>
      <c r="H6" s="5" t="inlineStr">
        <is>
          <t>Macro AUPRC</t>
        </is>
      </c>
      <c r="I6" s="5" t="inlineStr">
        <is>
          <t>Macro precision</t>
        </is>
      </c>
      <c r="J6" s="5" t="inlineStr">
        <is>
          <t>Macro recall</t>
        </is>
      </c>
      <c r="K6" s="5" t="inlineStr">
        <is>
          <t>Macro specificity</t>
        </is>
      </c>
      <c r="L6" s="5" t="inlineStr">
        <is>
          <t>Macro MCC</t>
        </is>
      </c>
      <c r="M6" s="5" t="inlineStr">
        <is>
          <t>Hamming accuracy</t>
        </is>
      </c>
      <c r="N6" s="5" t="inlineStr">
        <is>
          <t>Subset accuracy</t>
        </is>
      </c>
      <c r="O6" s="5" t="inlineStr">
        <is>
          <t>Rank (AUROC)</t>
        </is>
      </c>
      <c r="P6" s="5" t="inlineStr">
        <is>
          <t>Thresholds</t>
        </is>
      </c>
    </row>
    <row r="7">
      <c r="A7" s="7" t="inlineStr">
        <is>
          <t>Hasib (DenseNet-121)</t>
        </is>
      </c>
      <c r="B7" s="10" t="inlineStr">
        <is>
          <t>CNN</t>
        </is>
      </c>
      <c r="C7" s="7" t="inlineStr">
        <is>
          <t>Chest X-rays</t>
        </is>
      </c>
      <c r="D7" s="26" t="n">
        <v>0.76</v>
      </c>
      <c r="E7" s="26" t="n">
        <v>0.18</v>
      </c>
      <c r="F7" s="26" t="n">
        <v>0.2</v>
      </c>
      <c r="G7" s="26" t="n">
        <v>0.27</v>
      </c>
      <c r="H7" s="27" t="inlineStr">
        <is>
          <t>n/r</t>
        </is>
      </c>
      <c r="I7" s="26" t="n">
        <v>0.12</v>
      </c>
      <c r="J7" s="28" t="n">
        <v>0.5600000000000001</v>
      </c>
      <c r="K7" s="27" t="inlineStr">
        <is>
          <t>n/r</t>
        </is>
      </c>
      <c r="L7" s="27" t="inlineStr">
        <is>
          <t>n/r</t>
        </is>
      </c>
      <c r="M7" s="27" t="inlineStr">
        <is>
          <t>n/a</t>
        </is>
      </c>
      <c r="N7" s="27" t="inlineStr">
        <is>
          <t>n/a</t>
        </is>
      </c>
      <c r="O7" s="11" t="n">
        <v>8</v>
      </c>
      <c r="P7" s="7" t="inlineStr">
        <is>
          <t>Fixed 0.50</t>
        </is>
      </c>
    </row>
    <row r="8">
      <c r="A8" s="7" t="inlineStr">
        <is>
          <t>Marjia (ConvNeXt-Tiny)</t>
        </is>
      </c>
      <c r="B8" s="10" t="inlineStr">
        <is>
          <t>CNN</t>
        </is>
      </c>
      <c r="C8" s="7" t="inlineStr">
        <is>
          <t>ImageNet</t>
        </is>
      </c>
      <c r="D8" s="26" t="n">
        <v>0.831</v>
      </c>
      <c r="E8" s="26" t="n">
        <v>0.3</v>
      </c>
      <c r="F8" s="26" t="n">
        <v>0.36</v>
      </c>
      <c r="G8" s="26" t="n">
        <v>0.37</v>
      </c>
      <c r="H8" s="27" t="inlineStr">
        <is>
          <t>n/r</t>
        </is>
      </c>
      <c r="I8" s="26" t="n">
        <v>0.27</v>
      </c>
      <c r="J8" s="26" t="n">
        <v>0.37</v>
      </c>
      <c r="K8" s="27" t="inlineStr">
        <is>
          <t>n/r</t>
        </is>
      </c>
      <c r="L8" s="27" t="inlineStr">
        <is>
          <t>n/r</t>
        </is>
      </c>
      <c r="M8" s="28" t="n">
        <v>0.921</v>
      </c>
      <c r="N8" s="28" t="n">
        <v>0.429</v>
      </c>
      <c r="O8" s="11" t="n">
        <v>4</v>
      </c>
      <c r="P8" s="7" t="inlineStr">
        <is>
          <t>Tuned per class</t>
        </is>
      </c>
    </row>
    <row r="9">
      <c r="A9" s="7" t="inlineStr">
        <is>
          <t>Tanzil (DenseNet-121 improved)</t>
        </is>
      </c>
      <c r="B9" s="10" t="inlineStr">
        <is>
          <t>CNN</t>
        </is>
      </c>
      <c r="C9" s="7" t="inlineStr">
        <is>
          <t>Chest X-rays</t>
        </is>
      </c>
      <c r="D9" s="26" t="n">
        <v>0.8129999999999999</v>
      </c>
      <c r="E9" s="26" t="n">
        <v>0.28</v>
      </c>
      <c r="F9" s="26" t="n">
        <v>0.33</v>
      </c>
      <c r="G9" s="26" t="n">
        <v>0.35</v>
      </c>
      <c r="H9" s="27" t="inlineStr">
        <is>
          <t>n/r</t>
        </is>
      </c>
      <c r="I9" s="26" t="n">
        <v>0.23</v>
      </c>
      <c r="J9" s="26" t="n">
        <v>0.39</v>
      </c>
      <c r="K9" s="27" t="inlineStr">
        <is>
          <t>n/r</t>
        </is>
      </c>
      <c r="L9" s="27" t="inlineStr">
        <is>
          <t>n/r</t>
        </is>
      </c>
      <c r="M9" s="26" t="n">
        <v>0.906</v>
      </c>
      <c r="N9" s="26" t="n">
        <v>0.395</v>
      </c>
      <c r="O9" s="11" t="n">
        <v>6</v>
      </c>
      <c r="P9" s="7" t="inlineStr">
        <is>
          <t>Tuned per class</t>
        </is>
      </c>
    </row>
    <row r="10">
      <c r="A10" s="7" t="inlineStr">
        <is>
          <t>BioViL-T</t>
        </is>
      </c>
      <c r="B10" s="10" t="inlineStr">
        <is>
          <t>Vision-language</t>
        </is>
      </c>
      <c r="C10" s="7" t="inlineStr">
        <is>
          <t>Biomedical image + text</t>
        </is>
      </c>
      <c r="D10" s="26" t="n">
        <v>0.836</v>
      </c>
      <c r="E10" s="26" t="n">
        <v>0.32</v>
      </c>
      <c r="F10" s="28" t="n">
        <v>0.37</v>
      </c>
      <c r="G10" s="28" t="n">
        <v>0.39</v>
      </c>
      <c r="H10" s="27" t="inlineStr">
        <is>
          <t>n/r</t>
        </is>
      </c>
      <c r="I10" s="26" t="n">
        <v>0.29</v>
      </c>
      <c r="J10" s="26" t="n">
        <v>0.4</v>
      </c>
      <c r="K10" s="27" t="inlineStr">
        <is>
          <t>n/r</t>
        </is>
      </c>
      <c r="L10" s="27" t="inlineStr">
        <is>
          <t>n/r</t>
        </is>
      </c>
      <c r="M10" s="26" t="n">
        <v>0.92</v>
      </c>
      <c r="N10" s="26" t="n">
        <v>0.415</v>
      </c>
      <c r="O10" s="11" t="n">
        <v>3</v>
      </c>
      <c r="P10" s="7" t="inlineStr">
        <is>
          <t>Tuned per class</t>
        </is>
      </c>
    </row>
    <row r="11">
      <c r="A11" s="7" t="inlineStr">
        <is>
          <t>ConvNeXt-Base</t>
        </is>
      </c>
      <c r="B11" s="10" t="inlineStr">
        <is>
          <t>CNN</t>
        </is>
      </c>
      <c r="C11" s="7" t="inlineStr">
        <is>
          <t>ImageNet</t>
        </is>
      </c>
      <c r="D11" s="26" t="n">
        <v>0.819</v>
      </c>
      <c r="E11" s="26" t="n">
        <v>0.29</v>
      </c>
      <c r="F11" s="26" t="n">
        <v>0.36</v>
      </c>
      <c r="G11" s="26" t="n">
        <v>0.36</v>
      </c>
      <c r="H11" s="27" t="inlineStr">
        <is>
          <t>n/r</t>
        </is>
      </c>
      <c r="I11" s="26" t="n">
        <v>0.25</v>
      </c>
      <c r="J11" s="26" t="n">
        <v>0.36</v>
      </c>
      <c r="K11" s="27" t="inlineStr">
        <is>
          <t>n/r</t>
        </is>
      </c>
      <c r="L11" s="27" t="inlineStr">
        <is>
          <t>n/r</t>
        </is>
      </c>
      <c r="M11" s="26" t="n">
        <v>0.917</v>
      </c>
      <c r="N11" s="26" t="n">
        <v>0.394</v>
      </c>
      <c r="O11" s="11" t="n">
        <v>5</v>
      </c>
      <c r="P11" s="7" t="inlineStr">
        <is>
          <t>Tuned per class</t>
        </is>
      </c>
    </row>
    <row r="12">
      <c r="A12" s="7" t="inlineStr">
        <is>
          <t>ConvNeXt-Small</t>
        </is>
      </c>
      <c r="B12" s="10" t="inlineStr">
        <is>
          <t>CNN</t>
        </is>
      </c>
      <c r="C12" s="7" t="inlineStr">
        <is>
          <t>ImageNet</t>
        </is>
      </c>
      <c r="D12" s="26" t="n">
        <v>0.806</v>
      </c>
      <c r="E12" s="26" t="n">
        <v>0.31</v>
      </c>
      <c r="F12" s="27" t="inlineStr">
        <is>
          <t>n/r</t>
        </is>
      </c>
      <c r="G12" s="27" t="inlineStr">
        <is>
          <t>n/r</t>
        </is>
      </c>
      <c r="H12" s="26" t="n">
        <v>0.247</v>
      </c>
      <c r="I12" s="26" t="n">
        <v>0.275</v>
      </c>
      <c r="J12" s="26" t="n">
        <v>0.381</v>
      </c>
      <c r="K12" s="26" t="n">
        <v>0.9370000000000001</v>
      </c>
      <c r="L12" s="26" t="n">
        <v>0.273</v>
      </c>
      <c r="M12" s="27" t="inlineStr">
        <is>
          <t>n/r</t>
        </is>
      </c>
      <c r="N12" s="27" t="inlineStr">
        <is>
          <t>n/r</t>
        </is>
      </c>
      <c r="O12" s="11" t="n">
        <v>7</v>
      </c>
      <c r="P12" s="7" t="inlineStr">
        <is>
          <t>Best (F1) strategy</t>
        </is>
      </c>
    </row>
    <row r="13">
      <c r="A13" s="7" t="inlineStr">
        <is>
          <t>RAD-DINO</t>
        </is>
      </c>
      <c r="B13" s="10" t="inlineStr">
        <is>
          <t>ViT (self-supervised)</t>
        </is>
      </c>
      <c r="C13" s="7" t="inlineStr">
        <is>
          <t>Chest X-rays (DINOv2)</t>
        </is>
      </c>
      <c r="D13" s="28" t="n">
        <v>0.851</v>
      </c>
      <c r="E13" s="28" t="n">
        <v>0.36</v>
      </c>
      <c r="F13" s="27" t="inlineStr">
        <is>
          <t>n/r</t>
        </is>
      </c>
      <c r="G13" s="27" t="inlineStr">
        <is>
          <t>n/r</t>
        </is>
      </c>
      <c r="H13" s="28" t="n">
        <v>0.295</v>
      </c>
      <c r="I13" s="28" t="n">
        <v>0.311</v>
      </c>
      <c r="J13" s="26" t="n">
        <v>0.451</v>
      </c>
      <c r="K13" s="28" t="n">
        <v>0.9379999999999999</v>
      </c>
      <c r="L13" s="28" t="n">
        <v>0.328</v>
      </c>
      <c r="M13" s="27" t="inlineStr">
        <is>
          <t>n/r</t>
        </is>
      </c>
      <c r="N13" s="27" t="inlineStr">
        <is>
          <t>n/r</t>
        </is>
      </c>
      <c r="O13" s="11" t="n">
        <v>1</v>
      </c>
      <c r="P13" s="7" t="inlineStr">
        <is>
          <t>Best (F1) strategy</t>
        </is>
      </c>
    </row>
    <row r="14">
      <c r="A14" s="7" t="inlineStr">
        <is>
          <t>Ensemble: logit average of first five</t>
        </is>
      </c>
      <c r="B14" s="10" t="inlineStr">
        <is>
          <t>Ensemble</t>
        </is>
      </c>
      <c r="C14" s="7" t="inlineStr">
        <is>
          <t>–</t>
        </is>
      </c>
      <c r="D14" s="26" t="n">
        <v>0.849</v>
      </c>
      <c r="E14" s="27" t="inlineStr">
        <is>
          <t>n/r</t>
        </is>
      </c>
      <c r="F14" s="27" t="inlineStr">
        <is>
          <t>n/r</t>
        </is>
      </c>
      <c r="G14" s="27" t="inlineStr">
        <is>
          <t>n/r</t>
        </is>
      </c>
      <c r="H14" s="27" t="inlineStr">
        <is>
          <t>n/r</t>
        </is>
      </c>
      <c r="I14" s="27" t="inlineStr">
        <is>
          <t>n/r</t>
        </is>
      </c>
      <c r="J14" s="27" t="inlineStr">
        <is>
          <t>n/r</t>
        </is>
      </c>
      <c r="K14" s="27" t="inlineStr">
        <is>
          <t>n/r</t>
        </is>
      </c>
      <c r="L14" s="27" t="inlineStr">
        <is>
          <t>n/r</t>
        </is>
      </c>
      <c r="M14" s="27" t="inlineStr">
        <is>
          <t>n/r</t>
        </is>
      </c>
      <c r="N14" s="27" t="inlineStr">
        <is>
          <t>n/r</t>
        </is>
      </c>
      <c r="O14" s="11" t="n">
        <v>2</v>
      </c>
      <c r="P14" s="7" t="inlineStr">
        <is>
          <t>n/r</t>
        </is>
      </c>
    </row>
    <row r="15" ht="26" customHeight="1">
      <c r="A15" s="3" t="inlineStr">
        <is>
          <t>Team models, all on the same 15,917-image test set. F1 for Marjia, Tanzil, BioViL-T and ConvNeXt-Base uses tuned thresholds (like-for-like). Hasib uses a fixed 0.50. ConvNeXt-Small and RAD-DINO use their best (F1) strategy. Hamming accuracy is inflated because most labels are negative: predicting 'no disease' everywhere already scores ~0.90.</t>
        </is>
      </c>
    </row>
    <row r="17">
      <c r="A17" s="8" t="inlineStr">
        <is>
          <t>B. Per-disease AUROC (green = best model for that disease)</t>
        </is>
      </c>
      <c r="B17" s="9" t="n"/>
      <c r="C17" s="9" t="n"/>
      <c r="D17" s="9" t="n"/>
      <c r="E17" s="9" t="n"/>
      <c r="F17" s="9" t="n"/>
      <c r="G17" s="9" t="n"/>
      <c r="H17" s="9" t="n"/>
      <c r="I17" s="9" t="n"/>
      <c r="J17" s="9" t="n"/>
      <c r="K17" s="9" t="n"/>
      <c r="L17" s="9" t="n"/>
      <c r="M17" s="9" t="n"/>
      <c r="N17" s="9" t="n"/>
      <c r="O17" s="9" t="n"/>
      <c r="P17" s="9" t="n"/>
    </row>
    <row r="18" ht="45" customHeight="1">
      <c r="A18" s="5" t="inlineStr">
        <is>
          <t>Disease</t>
        </is>
      </c>
      <c r="B18" s="5" t="inlineStr">
        <is>
          <t>Test cases</t>
        </is>
      </c>
      <c r="C18" s="5" t="inlineStr">
        <is>
          <t>Hasib (DenseNet-121)</t>
        </is>
      </c>
      <c r="D18" s="5" t="inlineStr">
        <is>
          <t>Marjia (ConvNeXt-Tiny)</t>
        </is>
      </c>
      <c r="E18" s="5" t="inlineStr">
        <is>
          <t>Tanzil (DenseNet-121 improved)</t>
        </is>
      </c>
      <c r="F18" s="5" t="inlineStr">
        <is>
          <t>BioViL-T</t>
        </is>
      </c>
      <c r="G18" s="5" t="inlineStr">
        <is>
          <t>ConvNeXt-Base</t>
        </is>
      </c>
      <c r="H18" s="5" t="inlineStr">
        <is>
          <t>ConvNeXt-Small</t>
        </is>
      </c>
      <c r="I18" s="5" t="inlineStr">
        <is>
          <t>RAD-DINO</t>
        </is>
      </c>
      <c r="J18" s="5" t="inlineStr">
        <is>
          <t>Best model</t>
        </is>
      </c>
    </row>
    <row r="19">
      <c r="A19" s="10" t="inlineStr">
        <is>
          <t>Hernia</t>
        </is>
      </c>
      <c r="B19" s="12" t="n">
        <v>62</v>
      </c>
      <c r="C19" s="26" t="n">
        <v>0.788</v>
      </c>
      <c r="D19" s="26" t="n">
        <v>0.905</v>
      </c>
      <c r="E19" s="26" t="n">
        <v>0.9379999999999999</v>
      </c>
      <c r="F19" s="26" t="n">
        <v>0.916</v>
      </c>
      <c r="G19" s="26" t="n">
        <v>0.852</v>
      </c>
      <c r="H19" s="26" t="n">
        <v>0.906</v>
      </c>
      <c r="I19" s="28" t="n">
        <v>0.967</v>
      </c>
      <c r="J19" s="7" t="inlineStr">
        <is>
          <t>RAD-DINO</t>
        </is>
      </c>
    </row>
    <row r="20">
      <c r="A20" s="10" t="inlineStr">
        <is>
          <t>Emphysema</t>
        </is>
      </c>
      <c r="B20" s="12" t="n">
        <v>351</v>
      </c>
      <c r="C20" s="26" t="n">
        <v>0.7</v>
      </c>
      <c r="D20" s="26" t="n">
        <v>0.902</v>
      </c>
      <c r="E20" s="26" t="n">
        <v>0.78</v>
      </c>
      <c r="F20" s="26" t="n">
        <v>0.889</v>
      </c>
      <c r="G20" s="26" t="n">
        <v>0.909</v>
      </c>
      <c r="H20" s="26" t="n">
        <v>0.923</v>
      </c>
      <c r="I20" s="28" t="n">
        <v>0.947</v>
      </c>
      <c r="J20" s="7" t="inlineStr">
        <is>
          <t>RAD-DINO</t>
        </is>
      </c>
    </row>
    <row r="21">
      <c r="A21" s="10" t="inlineStr">
        <is>
          <t>Edema</t>
        </is>
      </c>
      <c r="B21" s="12" t="n">
        <v>343</v>
      </c>
      <c r="C21" s="26" t="n">
        <v>0.849</v>
      </c>
      <c r="D21" s="28" t="n">
        <v>0.914</v>
      </c>
      <c r="E21" s="26" t="n">
        <v>0.887</v>
      </c>
      <c r="F21" s="26" t="n">
        <v>0.909</v>
      </c>
      <c r="G21" s="26" t="n">
        <v>0.904</v>
      </c>
      <c r="H21" s="26" t="n">
        <v>0.896</v>
      </c>
      <c r="I21" s="26" t="n">
        <v>0.91</v>
      </c>
      <c r="J21" s="7" t="inlineStr">
        <is>
          <t>Marjia (ConvNeXt-Tiny)</t>
        </is>
      </c>
    </row>
    <row r="22">
      <c r="A22" s="10" t="inlineStr">
        <is>
          <t>Pneumothorax</t>
        </is>
      </c>
      <c r="B22" s="12" t="n">
        <v>703</v>
      </c>
      <c r="C22" s="26" t="n">
        <v>0.766</v>
      </c>
      <c r="D22" s="26" t="n">
        <v>0.88</v>
      </c>
      <c r="E22" s="26" t="n">
        <v>0.821</v>
      </c>
      <c r="F22" s="26" t="n">
        <v>0.873</v>
      </c>
      <c r="G22" s="26" t="n">
        <v>0.881</v>
      </c>
      <c r="H22" s="26" t="n">
        <v>0.872</v>
      </c>
      <c r="I22" s="28" t="n">
        <v>0.91</v>
      </c>
      <c r="J22" s="7" t="inlineStr">
        <is>
          <t>RAD-DINO</t>
        </is>
      </c>
    </row>
    <row r="23">
      <c r="A23" s="10" t="inlineStr">
        <is>
          <t>Cardiomegaly</t>
        </is>
      </c>
      <c r="B23" s="12" t="n">
        <v>367</v>
      </c>
      <c r="C23" s="26" t="n">
        <v>0.885</v>
      </c>
      <c r="D23" s="26" t="n">
        <v>0.905</v>
      </c>
      <c r="E23" s="28" t="n">
        <v>0.908</v>
      </c>
      <c r="F23" s="26" t="n">
        <v>0.904</v>
      </c>
      <c r="G23" s="26" t="n">
        <v>0.883</v>
      </c>
      <c r="H23" s="26" t="n">
        <v>0.885</v>
      </c>
      <c r="I23" s="26" t="n">
        <v>0.901</v>
      </c>
      <c r="J23" s="7" t="inlineStr">
        <is>
          <t>Tanzil (DenseNet-121 improved)</t>
        </is>
      </c>
    </row>
    <row r="24">
      <c r="A24" s="10" t="inlineStr">
        <is>
          <t>Mass</t>
        </is>
      </c>
      <c r="B24" s="12" t="n">
        <v>848</v>
      </c>
      <c r="C24" s="26" t="n">
        <v>0.795</v>
      </c>
      <c r="D24" s="26" t="n">
        <v>0.853</v>
      </c>
      <c r="E24" s="26" t="n">
        <v>0.854</v>
      </c>
      <c r="F24" s="26" t="n">
        <v>0.875</v>
      </c>
      <c r="G24" s="26" t="n">
        <v>0.842</v>
      </c>
      <c r="H24" s="26" t="n">
        <v>0.827</v>
      </c>
      <c r="I24" s="28" t="n">
        <v>0.895</v>
      </c>
      <c r="J24" s="7" t="inlineStr">
        <is>
          <t>RAD-DINO</t>
        </is>
      </c>
    </row>
    <row r="25">
      <c r="A25" s="10" t="inlineStr">
        <is>
          <t>Effusion</t>
        </is>
      </c>
      <c r="B25" s="12" t="n">
        <v>1755</v>
      </c>
      <c r="C25" s="26" t="n">
        <v>0.835</v>
      </c>
      <c r="D25" s="26" t="n">
        <v>0.876</v>
      </c>
      <c r="E25" s="26" t="n">
        <v>0.868</v>
      </c>
      <c r="F25" s="26" t="n">
        <v>0.882</v>
      </c>
      <c r="G25" s="26" t="n">
        <v>0.867</v>
      </c>
      <c r="H25" s="26" t="n">
        <v>0.869</v>
      </c>
      <c r="I25" s="28" t="n">
        <v>0.885</v>
      </c>
      <c r="J25" s="7" t="inlineStr">
        <is>
          <t>RAD-DINO</t>
        </is>
      </c>
    </row>
    <row r="26">
      <c r="A26" s="10" t="inlineStr">
        <is>
          <t>Atelectasis</t>
        </is>
      </c>
      <c r="B26" s="12" t="n">
        <v>1685</v>
      </c>
      <c r="C26" s="26" t="n">
        <v>0.755</v>
      </c>
      <c r="D26" s="26" t="n">
        <v>0.806</v>
      </c>
      <c r="E26" s="26" t="n">
        <v>0.791</v>
      </c>
      <c r="F26" s="26" t="n">
        <v>0.823</v>
      </c>
      <c r="G26" s="26" t="n">
        <v>0.801</v>
      </c>
      <c r="H26" s="26" t="n">
        <v>0.791</v>
      </c>
      <c r="I26" s="28" t="n">
        <v>0.839</v>
      </c>
      <c r="J26" s="7" t="inlineStr">
        <is>
          <t>RAD-DINO</t>
        </is>
      </c>
    </row>
    <row r="27">
      <c r="A27" s="10" t="inlineStr">
        <is>
          <t>Fibrosis</t>
        </is>
      </c>
      <c r="B27" s="12" t="n">
        <v>228</v>
      </c>
      <c r="C27" s="26" t="n">
        <v>0.735</v>
      </c>
      <c r="D27" s="26" t="n">
        <v>0.799</v>
      </c>
      <c r="E27" s="26" t="n">
        <v>0.797</v>
      </c>
      <c r="F27" s="26" t="n">
        <v>0.798</v>
      </c>
      <c r="G27" s="26" t="n">
        <v>0.806</v>
      </c>
      <c r="H27" s="26" t="n">
        <v>0.789</v>
      </c>
      <c r="I27" s="28" t="n">
        <v>0.833</v>
      </c>
      <c r="J27" s="7" t="inlineStr">
        <is>
          <t>RAD-DINO</t>
        </is>
      </c>
    </row>
    <row r="28">
      <c r="A28" s="10" t="inlineStr">
        <is>
          <t>Nodule</t>
        </is>
      </c>
      <c r="B28" s="12" t="n">
        <v>894</v>
      </c>
      <c r="C28" s="26" t="n">
        <v>0.652</v>
      </c>
      <c r="D28" s="26" t="n">
        <v>0.754</v>
      </c>
      <c r="E28" s="26" t="n">
        <v>0.734</v>
      </c>
      <c r="F28" s="26" t="n">
        <v>0.787</v>
      </c>
      <c r="G28" s="26" t="n">
        <v>0.749</v>
      </c>
      <c r="H28" s="26" t="n">
        <v>0.696</v>
      </c>
      <c r="I28" s="28" t="n">
        <v>0.8129999999999999</v>
      </c>
      <c r="J28" s="7" t="inlineStr">
        <is>
          <t>RAD-DINO</t>
        </is>
      </c>
    </row>
    <row r="29">
      <c r="A29" s="10" t="inlineStr">
        <is>
          <t>Consolidation</t>
        </is>
      </c>
      <c r="B29" s="12" t="n">
        <v>563</v>
      </c>
      <c r="C29" s="26" t="n">
        <v>0.779</v>
      </c>
      <c r="D29" s="26" t="n">
        <v>0.783</v>
      </c>
      <c r="E29" s="26" t="n">
        <v>0.794</v>
      </c>
      <c r="F29" s="28" t="n">
        <v>0.799</v>
      </c>
      <c r="G29" s="26" t="n">
        <v>0.791</v>
      </c>
      <c r="H29" s="26" t="n">
        <v>0.767</v>
      </c>
      <c r="I29" s="26" t="n">
        <v>0.797</v>
      </c>
      <c r="J29" s="7" t="inlineStr">
        <is>
          <t>BioViL-T</t>
        </is>
      </c>
    </row>
    <row r="30">
      <c r="A30" s="10" t="inlineStr">
        <is>
          <t>Pleural Thickening</t>
        </is>
      </c>
      <c r="B30" s="12" t="n">
        <v>444</v>
      </c>
      <c r="C30" s="26" t="n">
        <v>0.726</v>
      </c>
      <c r="D30" s="26" t="n">
        <v>0.772</v>
      </c>
      <c r="E30" s="26" t="n">
        <v>0.746</v>
      </c>
      <c r="F30" s="26" t="n">
        <v>0.771</v>
      </c>
      <c r="G30" s="26" t="n">
        <v>0.749</v>
      </c>
      <c r="H30" s="26" t="n">
        <v>0.708</v>
      </c>
      <c r="I30" s="28" t="n">
        <v>0.79</v>
      </c>
      <c r="J30" s="7" t="inlineStr">
        <is>
          <t>RAD-DINO</t>
        </is>
      </c>
    </row>
    <row r="31">
      <c r="A31" s="10" t="inlineStr">
        <is>
          <t>Pneumonia</t>
        </is>
      </c>
      <c r="B31" s="12" t="n">
        <v>210</v>
      </c>
      <c r="C31" s="26" t="n">
        <v>0.704</v>
      </c>
      <c r="D31" s="26" t="n">
        <v>0.772</v>
      </c>
      <c r="E31" s="28" t="n">
        <v>0.775</v>
      </c>
      <c r="F31" s="26" t="n">
        <v>0.773</v>
      </c>
      <c r="G31" s="26" t="n">
        <v>0.733</v>
      </c>
      <c r="H31" s="26" t="n">
        <v>0.67</v>
      </c>
      <c r="I31" s="26" t="n">
        <v>0.729</v>
      </c>
      <c r="J31" s="7" t="inlineStr">
        <is>
          <t>Tanzil (DenseNet-121 improved)</t>
        </is>
      </c>
    </row>
    <row r="32">
      <c r="A32" s="10" t="inlineStr">
        <is>
          <t>Infiltration</t>
        </is>
      </c>
      <c r="B32" s="12" t="n">
        <v>2777</v>
      </c>
      <c r="C32" s="26" t="n">
        <v>0.664</v>
      </c>
      <c r="D32" s="28" t="n">
        <v>0.708</v>
      </c>
      <c r="E32" s="26" t="n">
        <v>0.695</v>
      </c>
      <c r="F32" s="26" t="n">
        <v>0.706</v>
      </c>
      <c r="G32" s="26" t="n">
        <v>0.702</v>
      </c>
      <c r="H32" s="26" t="n">
        <v>0.6879999999999999</v>
      </c>
      <c r="I32" s="26" t="n">
        <v>0.702</v>
      </c>
      <c r="J32" s="7" t="inlineStr">
        <is>
          <t>Marjia (ConvNeXt-Tiny)</t>
        </is>
      </c>
    </row>
    <row r="33" ht="26" customHeight="1">
      <c r="A33" s="3" t="inlineStr">
        <is>
          <t>Red rows = hardest diseases. RAD-DINO leads on 12 of the 14 diseases and reaches 0.851, above the logit-average ensemble of the first five models (0.849). Within the ConvNeXt family, bigger/higher resolution did not help: Tiny 0.831 &gt; Base 0.819 &gt; Small-384 0.806.</t>
        </is>
      </c>
    </row>
    <row r="35">
      <c r="A35" s="8" t="inlineStr">
        <is>
          <t>C. Per-disease F1</t>
        </is>
      </c>
      <c r="B35" s="9" t="n"/>
      <c r="C35" s="9" t="n"/>
      <c r="D35" s="9" t="n"/>
      <c r="E35" s="9" t="n"/>
      <c r="F35" s="9" t="n"/>
      <c r="G35" s="9" t="n"/>
      <c r="H35" s="9" t="n"/>
      <c r="I35" s="9" t="n"/>
      <c r="J35" s="9" t="n"/>
      <c r="K35" s="9" t="n"/>
      <c r="L35" s="9" t="n"/>
      <c r="M35" s="9" t="n"/>
      <c r="N35" s="9" t="n"/>
      <c r="O35" s="9" t="n"/>
      <c r="P35" s="9" t="n"/>
    </row>
    <row r="36" ht="45" customHeight="1">
      <c r="A36" s="5" t="inlineStr">
        <is>
          <t>Disease</t>
        </is>
      </c>
      <c r="B36" s="5" t="inlineStr">
        <is>
          <t>Test cases</t>
        </is>
      </c>
      <c r="C36" s="5" t="inlineStr">
        <is>
          <t>Hasib (DenseNet-121)</t>
        </is>
      </c>
      <c r="D36" s="5" t="inlineStr">
        <is>
          <t>Marjia (ConvNeXt-Tiny)</t>
        </is>
      </c>
      <c r="E36" s="5" t="inlineStr">
        <is>
          <t>Tanzil (DenseNet-121 improved)</t>
        </is>
      </c>
      <c r="F36" s="5" t="inlineStr">
        <is>
          <t>BioViL-T</t>
        </is>
      </c>
      <c r="G36" s="5" t="inlineStr">
        <is>
          <t>ConvNeXt-Base</t>
        </is>
      </c>
      <c r="H36" s="5" t="inlineStr">
        <is>
          <t>ConvNeXt-Small</t>
        </is>
      </c>
      <c r="I36" s="5" t="inlineStr">
        <is>
          <t>RAD-DINO</t>
        </is>
      </c>
      <c r="J36" s="5" t="inlineStr">
        <is>
          <t>Best model</t>
        </is>
      </c>
    </row>
    <row r="37">
      <c r="A37" s="10" t="inlineStr">
        <is>
          <t>Infiltration</t>
        </is>
      </c>
      <c r="B37" s="12" t="n">
        <v>2777</v>
      </c>
      <c r="C37" s="26" t="n">
        <v>0.34</v>
      </c>
      <c r="D37" s="28" t="n">
        <v>0.4</v>
      </c>
      <c r="E37" s="26" t="n">
        <v>0.39</v>
      </c>
      <c r="F37" s="28" t="n">
        <v>0.4</v>
      </c>
      <c r="G37" s="28" t="n">
        <v>0.4</v>
      </c>
      <c r="H37" s="26" t="n">
        <v>0.39</v>
      </c>
      <c r="I37" s="26" t="n">
        <v>0.39</v>
      </c>
      <c r="J37" s="7" t="inlineStr">
        <is>
          <t>Marjia (ConvNeXt-Tiny), BioViL-T, ConvNeXt-Base</t>
        </is>
      </c>
    </row>
    <row r="38">
      <c r="A38" s="10" t="inlineStr">
        <is>
          <t>Effusion</t>
        </is>
      </c>
      <c r="B38" s="12" t="n">
        <v>1755</v>
      </c>
      <c r="C38" s="26" t="n">
        <v>0.42</v>
      </c>
      <c r="D38" s="26" t="n">
        <v>0.52</v>
      </c>
      <c r="E38" s="26" t="n">
        <v>0.5</v>
      </c>
      <c r="F38" s="28" t="n">
        <v>0.54</v>
      </c>
      <c r="G38" s="26" t="n">
        <v>0.5</v>
      </c>
      <c r="H38" s="26" t="n">
        <v>0.47</v>
      </c>
      <c r="I38" s="26" t="n">
        <v>0.49</v>
      </c>
      <c r="J38" s="7" t="inlineStr">
        <is>
          <t>BioViL-T</t>
        </is>
      </c>
    </row>
    <row r="39">
      <c r="A39" s="10" t="inlineStr">
        <is>
          <t>Atelectasis</t>
        </is>
      </c>
      <c r="B39" s="12" t="n">
        <v>1685</v>
      </c>
      <c r="C39" s="26" t="n">
        <v>0.33</v>
      </c>
      <c r="D39" s="26" t="n">
        <v>0.4</v>
      </c>
      <c r="E39" s="26" t="n">
        <v>0.38</v>
      </c>
      <c r="F39" s="26" t="n">
        <v>0.42</v>
      </c>
      <c r="G39" s="26" t="n">
        <v>0.39</v>
      </c>
      <c r="H39" s="26" t="n">
        <v>0.37</v>
      </c>
      <c r="I39" s="28" t="n">
        <v>0.43</v>
      </c>
      <c r="J39" s="7" t="inlineStr">
        <is>
          <t>RAD-DINO</t>
        </is>
      </c>
    </row>
    <row r="40">
      <c r="A40" s="10" t="inlineStr">
        <is>
          <t>Nodule</t>
        </is>
      </c>
      <c r="B40" s="12" t="n">
        <v>894</v>
      </c>
      <c r="C40" s="26" t="n">
        <v>0.16</v>
      </c>
      <c r="D40" s="26" t="n">
        <v>0.29</v>
      </c>
      <c r="E40" s="26" t="n">
        <v>0.26</v>
      </c>
      <c r="F40" s="26" t="n">
        <v>0.34</v>
      </c>
      <c r="G40" s="26" t="n">
        <v>0.29</v>
      </c>
      <c r="H40" s="26" t="n">
        <v>0.24</v>
      </c>
      <c r="I40" s="28" t="n">
        <v>0.35</v>
      </c>
      <c r="J40" s="7" t="inlineStr">
        <is>
          <t>RAD-DINO</t>
        </is>
      </c>
    </row>
    <row r="41">
      <c r="A41" s="10" t="inlineStr">
        <is>
          <t>Mass</t>
        </is>
      </c>
      <c r="B41" s="12" t="n">
        <v>848</v>
      </c>
      <c r="C41" s="26" t="n">
        <v>0.28</v>
      </c>
      <c r="D41" s="26" t="n">
        <v>0.41</v>
      </c>
      <c r="E41" s="26" t="n">
        <v>0.41</v>
      </c>
      <c r="F41" s="28" t="n">
        <v>0.44</v>
      </c>
      <c r="G41" s="26" t="n">
        <v>0.4</v>
      </c>
      <c r="H41" s="26" t="n">
        <v>0.42</v>
      </c>
      <c r="I41" s="28" t="n">
        <v>0.44</v>
      </c>
      <c r="J41" s="7" t="inlineStr">
        <is>
          <t>BioViL-T, RAD-DINO</t>
        </is>
      </c>
    </row>
    <row r="42">
      <c r="A42" s="10" t="inlineStr">
        <is>
          <t>Pneumothorax</t>
        </is>
      </c>
      <c r="B42" s="12" t="n">
        <v>703</v>
      </c>
      <c r="C42" s="26" t="n">
        <v>0.18</v>
      </c>
      <c r="D42" s="26" t="n">
        <v>0.39</v>
      </c>
      <c r="E42" s="26" t="n">
        <v>0.29</v>
      </c>
      <c r="F42" s="26" t="n">
        <v>0.4</v>
      </c>
      <c r="G42" s="26" t="n">
        <v>0.39</v>
      </c>
      <c r="H42" s="26" t="n">
        <v>0.41</v>
      </c>
      <c r="I42" s="28" t="n">
        <v>0.46</v>
      </c>
      <c r="J42" s="7" t="inlineStr">
        <is>
          <t>RAD-DINO</t>
        </is>
      </c>
    </row>
    <row r="43">
      <c r="A43" s="10" t="inlineStr">
        <is>
          <t>Consolidation</t>
        </is>
      </c>
      <c r="B43" s="12" t="n">
        <v>563</v>
      </c>
      <c r="C43" s="26" t="n">
        <v>0.16</v>
      </c>
      <c r="D43" s="26" t="n">
        <v>0.19</v>
      </c>
      <c r="E43" s="26" t="n">
        <v>0.19</v>
      </c>
      <c r="F43" s="28" t="n">
        <v>0.21</v>
      </c>
      <c r="G43" s="26" t="n">
        <v>0.18</v>
      </c>
      <c r="H43" s="26" t="n">
        <v>0.02</v>
      </c>
      <c r="I43" s="26" t="n">
        <v>0.01</v>
      </c>
      <c r="J43" s="7" t="inlineStr">
        <is>
          <t>BioViL-T</t>
        </is>
      </c>
    </row>
    <row r="44">
      <c r="A44" s="10" t="inlineStr">
        <is>
          <t>Pleural Thickening</t>
        </is>
      </c>
      <c r="B44" s="12" t="n">
        <v>444</v>
      </c>
      <c r="C44" s="26" t="n">
        <v>0.11</v>
      </c>
      <c r="D44" s="26" t="n">
        <v>0.16</v>
      </c>
      <c r="E44" s="26" t="n">
        <v>0.17</v>
      </c>
      <c r="F44" s="28" t="n">
        <v>0.19</v>
      </c>
      <c r="G44" s="26" t="n">
        <v>0.16</v>
      </c>
      <c r="H44" s="26" t="n">
        <v>0.05</v>
      </c>
      <c r="I44" s="26" t="n">
        <v>0.16</v>
      </c>
      <c r="J44" s="7" t="inlineStr">
        <is>
          <t>BioViL-T</t>
        </is>
      </c>
    </row>
    <row r="45">
      <c r="A45" s="10" t="inlineStr">
        <is>
          <t>Cardiomegaly</t>
        </is>
      </c>
      <c r="B45" s="12" t="n">
        <v>367</v>
      </c>
      <c r="C45" s="26" t="n">
        <v>0.18</v>
      </c>
      <c r="D45" s="26" t="n">
        <v>0.3</v>
      </c>
      <c r="E45" s="26" t="n">
        <v>0.29</v>
      </c>
      <c r="F45" s="28" t="n">
        <v>0.31</v>
      </c>
      <c r="G45" s="26" t="n">
        <v>0.28</v>
      </c>
      <c r="H45" s="26" t="n">
        <v>0.27</v>
      </c>
      <c r="I45" s="26" t="n">
        <v>0.3</v>
      </c>
      <c r="J45" s="7" t="inlineStr">
        <is>
          <t>BioViL-T</t>
        </is>
      </c>
    </row>
    <row r="46">
      <c r="A46" s="10" t="inlineStr">
        <is>
          <t>Emphysema</t>
        </is>
      </c>
      <c r="B46" s="12" t="n">
        <v>351</v>
      </c>
      <c r="C46" s="26" t="n">
        <v>0.09</v>
      </c>
      <c r="D46" s="26" t="n">
        <v>0.39</v>
      </c>
      <c r="E46" s="26" t="n">
        <v>0.13</v>
      </c>
      <c r="F46" s="26" t="n">
        <v>0.37</v>
      </c>
      <c r="G46" s="26" t="n">
        <v>0.4</v>
      </c>
      <c r="H46" s="26" t="n">
        <v>0.41</v>
      </c>
      <c r="I46" s="28" t="n">
        <v>0.43</v>
      </c>
      <c r="J46" s="7" t="inlineStr">
        <is>
          <t>RAD-DINO</t>
        </is>
      </c>
    </row>
    <row r="47">
      <c r="A47" s="10" t="inlineStr">
        <is>
          <t>Edema</t>
        </is>
      </c>
      <c r="B47" s="12" t="n">
        <v>343</v>
      </c>
      <c r="C47" s="26" t="n">
        <v>0.15</v>
      </c>
      <c r="D47" s="28" t="n">
        <v>0.29</v>
      </c>
      <c r="E47" s="26" t="n">
        <v>0.23</v>
      </c>
      <c r="F47" s="26" t="n">
        <v>0.27</v>
      </c>
      <c r="G47" s="26" t="n">
        <v>0.27</v>
      </c>
      <c r="H47" s="26" t="n">
        <v>0.15</v>
      </c>
      <c r="I47" s="26" t="n">
        <v>0.2</v>
      </c>
      <c r="J47" s="7" t="inlineStr">
        <is>
          <t>Marjia (ConvNeXt-Tiny)</t>
        </is>
      </c>
    </row>
    <row r="48">
      <c r="A48" s="10" t="inlineStr">
        <is>
          <t>Fibrosis</t>
        </is>
      </c>
      <c r="B48" s="12" t="n">
        <v>228</v>
      </c>
      <c r="C48" s="26" t="n">
        <v>0.06</v>
      </c>
      <c r="D48" s="26" t="n">
        <v>0.16</v>
      </c>
      <c r="E48" s="26" t="n">
        <v>0.12</v>
      </c>
      <c r="F48" s="26" t="n">
        <v>0.17</v>
      </c>
      <c r="G48" s="26" t="n">
        <v>0.15</v>
      </c>
      <c r="H48" s="26" t="n">
        <v>0.08</v>
      </c>
      <c r="I48" s="28" t="n">
        <v>0.21</v>
      </c>
      <c r="J48" s="7" t="inlineStr">
        <is>
          <t>RAD-DINO</t>
        </is>
      </c>
    </row>
    <row r="49">
      <c r="A49" s="10" t="inlineStr">
        <is>
          <t>Pneumonia</t>
        </is>
      </c>
      <c r="B49" s="12" t="n">
        <v>210</v>
      </c>
      <c r="C49" s="26" t="n">
        <v>0.05</v>
      </c>
      <c r="D49" s="28" t="n">
        <v>0.11</v>
      </c>
      <c r="E49" s="26" t="n">
        <v>0.1</v>
      </c>
      <c r="F49" s="26" t="n">
        <v>0.09</v>
      </c>
      <c r="G49" s="26" t="n">
        <v>0.07000000000000001</v>
      </c>
      <c r="H49" s="26" t="n">
        <v>0.05</v>
      </c>
      <c r="I49" s="26" t="n">
        <v>0.01</v>
      </c>
      <c r="J49" s="7" t="inlineStr">
        <is>
          <t>Marjia (ConvNeXt-Tiny)</t>
        </is>
      </c>
    </row>
    <row r="50">
      <c r="A50" s="10" t="inlineStr">
        <is>
          <t>Hernia</t>
        </is>
      </c>
      <c r="B50" s="12" t="n">
        <v>62</v>
      </c>
      <c r="C50" s="26" t="n">
        <v>0.03</v>
      </c>
      <c r="D50" s="26" t="n">
        <v>0.22</v>
      </c>
      <c r="E50" s="26" t="n">
        <v>0.46</v>
      </c>
      <c r="F50" s="26" t="n">
        <v>0.39</v>
      </c>
      <c r="G50" s="26" t="n">
        <v>0.13</v>
      </c>
      <c r="H50" s="26" t="n">
        <v>0.4</v>
      </c>
      <c r="I50" s="28" t="n">
        <v>0.5600000000000001</v>
      </c>
      <c r="J50" s="7" t="inlineStr">
        <is>
          <t>RAD-DINO</t>
        </is>
      </c>
    </row>
    <row r="51" ht="26" customHeight="1">
      <c r="A51" s="3" t="inlineStr">
        <is>
          <t>Hasib: fixed 0.50. Marjia, Tanzil, BioViL-T, ConvNeXt-Base: tuned. ConvNeXt-Small and RAD-DINO: PPV&gt;=0.30 strategy (the only per-class breakdown in their logs), which understates both. RAD-DINO still has the best F1 on 9 of 14 diseases.</t>
        </is>
      </c>
    </row>
    <row r="53">
      <c r="A53" s="8" t="inlineStr">
        <is>
          <t>D. Per-disease precision</t>
        </is>
      </c>
      <c r="B53" s="9" t="n"/>
      <c r="C53" s="9" t="n"/>
      <c r="D53" s="9" t="n"/>
      <c r="E53" s="9" t="n"/>
      <c r="F53" s="9" t="n"/>
      <c r="G53" s="9" t="n"/>
      <c r="H53" s="9" t="n"/>
      <c r="I53" s="9" t="n"/>
      <c r="J53" s="9" t="n"/>
      <c r="K53" s="9" t="n"/>
      <c r="L53" s="9" t="n"/>
      <c r="M53" s="9" t="n"/>
      <c r="N53" s="9" t="n"/>
      <c r="O53" s="9" t="n"/>
      <c r="P53" s="9" t="n"/>
    </row>
    <row r="54" ht="45" customHeight="1">
      <c r="A54" s="5" t="inlineStr">
        <is>
          <t>Disease</t>
        </is>
      </c>
      <c r="B54" s="5" t="inlineStr">
        <is>
          <t>Test cases</t>
        </is>
      </c>
      <c r="C54" s="5" t="inlineStr">
        <is>
          <t>Hasib (DenseNet-121)</t>
        </is>
      </c>
      <c r="D54" s="5" t="inlineStr">
        <is>
          <t>Marjia (ConvNeXt-Tiny)</t>
        </is>
      </c>
      <c r="E54" s="5" t="inlineStr">
        <is>
          <t>Tanzil (DenseNet-121 improved)</t>
        </is>
      </c>
      <c r="F54" s="5" t="inlineStr">
        <is>
          <t>BioViL-T</t>
        </is>
      </c>
      <c r="G54" s="5" t="inlineStr">
        <is>
          <t>ConvNeXt-Base</t>
        </is>
      </c>
      <c r="H54" s="5" t="inlineStr">
        <is>
          <t>ConvNeXt-Small</t>
        </is>
      </c>
      <c r="I54" s="5" t="inlineStr">
        <is>
          <t>RAD-DINO</t>
        </is>
      </c>
      <c r="J54" s="5" t="inlineStr">
        <is>
          <t>Best model</t>
        </is>
      </c>
    </row>
    <row r="55">
      <c r="A55" s="10" t="inlineStr">
        <is>
          <t>Infiltration</t>
        </is>
      </c>
      <c r="B55" s="12" t="n">
        <v>2777</v>
      </c>
      <c r="C55" s="26" t="n">
        <v>0.32</v>
      </c>
      <c r="D55" s="28" t="n">
        <v>0.38</v>
      </c>
      <c r="E55" s="26" t="n">
        <v>0.33</v>
      </c>
      <c r="F55" s="26" t="n">
        <v>0.34</v>
      </c>
      <c r="G55" s="26" t="n">
        <v>0.32</v>
      </c>
      <c r="H55" s="26" t="n">
        <v>0.29</v>
      </c>
      <c r="I55" s="26" t="n">
        <v>0.28</v>
      </c>
      <c r="J55" s="7" t="inlineStr">
        <is>
          <t>Marjia (ConvNeXt-Tiny)</t>
        </is>
      </c>
    </row>
    <row r="56">
      <c r="A56" s="10" t="inlineStr">
        <is>
          <t>Effusion</t>
        </is>
      </c>
      <c r="B56" s="12" t="n">
        <v>1755</v>
      </c>
      <c r="C56" s="26" t="n">
        <v>0.3</v>
      </c>
      <c r="D56" s="26" t="n">
        <v>0.46</v>
      </c>
      <c r="E56" s="26" t="n">
        <v>0.42</v>
      </c>
      <c r="F56" s="28" t="n">
        <v>0.48</v>
      </c>
      <c r="G56" s="26" t="n">
        <v>0.45</v>
      </c>
      <c r="H56" s="26" t="n">
        <v>0.34</v>
      </c>
      <c r="I56" s="26" t="n">
        <v>0.34</v>
      </c>
      <c r="J56" s="7" t="inlineStr">
        <is>
          <t>BioViL-T</t>
        </is>
      </c>
    </row>
    <row r="57">
      <c r="A57" s="10" t="inlineStr">
        <is>
          <t>Atelectasis</t>
        </is>
      </c>
      <c r="B57" s="12" t="n">
        <v>1685</v>
      </c>
      <c r="C57" s="26" t="n">
        <v>0.24</v>
      </c>
      <c r="D57" s="26" t="n">
        <v>0.31</v>
      </c>
      <c r="E57" s="26" t="n">
        <v>0.31</v>
      </c>
      <c r="F57" s="28" t="n">
        <v>0.35</v>
      </c>
      <c r="G57" s="26" t="n">
        <v>0.31</v>
      </c>
      <c r="H57" s="26" t="n">
        <v>0.32</v>
      </c>
      <c r="I57" s="26" t="n">
        <v>0.32</v>
      </c>
      <c r="J57" s="7" t="inlineStr">
        <is>
          <t>BioViL-T</t>
        </is>
      </c>
    </row>
    <row r="58">
      <c r="A58" s="10" t="inlineStr">
        <is>
          <t>Nodule</t>
        </is>
      </c>
      <c r="B58" s="12" t="n">
        <v>894</v>
      </c>
      <c r="C58" s="26" t="n">
        <v>0.09</v>
      </c>
      <c r="D58" s="26" t="n">
        <v>0.28</v>
      </c>
      <c r="E58" s="26" t="n">
        <v>0.24</v>
      </c>
      <c r="F58" s="26" t="n">
        <v>0.31</v>
      </c>
      <c r="G58" s="26" t="n">
        <v>0.27</v>
      </c>
      <c r="H58" s="26" t="n">
        <v>0.31</v>
      </c>
      <c r="I58" s="28" t="n">
        <v>0.32</v>
      </c>
      <c r="J58" s="7" t="inlineStr">
        <is>
          <t>RAD-DINO</t>
        </is>
      </c>
    </row>
    <row r="59">
      <c r="A59" s="10" t="inlineStr">
        <is>
          <t>Mass</t>
        </is>
      </c>
      <c r="B59" s="12" t="n">
        <v>848</v>
      </c>
      <c r="C59" s="26" t="n">
        <v>0.19</v>
      </c>
      <c r="D59" s="26" t="n">
        <v>0.35</v>
      </c>
      <c r="E59" s="28" t="n">
        <v>0.41</v>
      </c>
      <c r="F59" s="26" t="n">
        <v>0.39</v>
      </c>
      <c r="G59" s="26" t="n">
        <v>0.4</v>
      </c>
      <c r="H59" s="26" t="n">
        <v>0.39</v>
      </c>
      <c r="I59" s="26" t="n">
        <v>0.34</v>
      </c>
      <c r="J59" s="7" t="inlineStr">
        <is>
          <t>Tanzil (DenseNet-121 improved)</t>
        </is>
      </c>
    </row>
    <row r="60">
      <c r="A60" s="10" t="inlineStr">
        <is>
          <t>Pneumothorax</t>
        </is>
      </c>
      <c r="B60" s="12" t="n">
        <v>703</v>
      </c>
      <c r="C60" s="26" t="n">
        <v>0.11</v>
      </c>
      <c r="D60" s="26" t="n">
        <v>0.32</v>
      </c>
      <c r="E60" s="26" t="n">
        <v>0.21</v>
      </c>
      <c r="F60" s="28" t="n">
        <v>0.37</v>
      </c>
      <c r="G60" s="26" t="n">
        <v>0.31</v>
      </c>
      <c r="H60" s="26" t="n">
        <v>0.36</v>
      </c>
      <c r="I60" s="26" t="n">
        <v>0.36</v>
      </c>
      <c r="J60" s="7" t="inlineStr">
        <is>
          <t>BioViL-T</t>
        </is>
      </c>
    </row>
    <row r="61">
      <c r="A61" s="10" t="inlineStr">
        <is>
          <t>Consolidation</t>
        </is>
      </c>
      <c r="B61" s="12" t="n">
        <v>563</v>
      </c>
      <c r="C61" s="26" t="n">
        <v>0.09</v>
      </c>
      <c r="D61" s="26" t="n">
        <v>0.12</v>
      </c>
      <c r="E61" s="26" t="n">
        <v>0.13</v>
      </c>
      <c r="F61" s="26" t="n">
        <v>0.14</v>
      </c>
      <c r="G61" s="26" t="n">
        <v>0.12</v>
      </c>
      <c r="H61" s="28" t="n">
        <v>0.19</v>
      </c>
      <c r="I61" s="26" t="n">
        <v>0.17</v>
      </c>
      <c r="J61" s="7" t="inlineStr">
        <is>
          <t>ConvNeXt-Small</t>
        </is>
      </c>
    </row>
    <row r="62">
      <c r="A62" s="10" t="inlineStr">
        <is>
          <t>Pleural Thickening</t>
        </is>
      </c>
      <c r="B62" s="12" t="n">
        <v>444</v>
      </c>
      <c r="C62" s="26" t="n">
        <v>0.06</v>
      </c>
      <c r="D62" s="26" t="n">
        <v>0.13</v>
      </c>
      <c r="E62" s="26" t="n">
        <v>0.12</v>
      </c>
      <c r="F62" s="26" t="n">
        <v>0.14</v>
      </c>
      <c r="G62" s="26" t="n">
        <v>0.13</v>
      </c>
      <c r="H62" s="26" t="n">
        <v>0.25</v>
      </c>
      <c r="I62" s="28" t="n">
        <v>0.27</v>
      </c>
      <c r="J62" s="7" t="inlineStr">
        <is>
          <t>RAD-DINO</t>
        </is>
      </c>
    </row>
    <row r="63">
      <c r="A63" s="10" t="inlineStr">
        <is>
          <t>Cardiomegaly</t>
        </is>
      </c>
      <c r="B63" s="12" t="n">
        <v>367</v>
      </c>
      <c r="C63" s="26" t="n">
        <v>0.1</v>
      </c>
      <c r="D63" s="26" t="n">
        <v>0.28</v>
      </c>
      <c r="E63" s="28" t="n">
        <v>0.3</v>
      </c>
      <c r="F63" s="28" t="n">
        <v>0.3</v>
      </c>
      <c r="G63" s="26" t="n">
        <v>0.26</v>
      </c>
      <c r="H63" s="26" t="n">
        <v>0.26</v>
      </c>
      <c r="I63" s="26" t="n">
        <v>0.28</v>
      </c>
      <c r="J63" s="7" t="inlineStr">
        <is>
          <t>Tanzil (DenseNet-121 improved), BioViL-T</t>
        </is>
      </c>
    </row>
    <row r="64">
      <c r="A64" s="10" t="inlineStr">
        <is>
          <t>Emphysema</t>
        </is>
      </c>
      <c r="B64" s="12" t="n">
        <v>351</v>
      </c>
      <c r="C64" s="26" t="n">
        <v>0.05</v>
      </c>
      <c r="D64" s="28" t="n">
        <v>0.38</v>
      </c>
      <c r="E64" s="26" t="n">
        <v>0.08</v>
      </c>
      <c r="F64" s="28" t="n">
        <v>0.38</v>
      </c>
      <c r="G64" s="26" t="n">
        <v>0.34</v>
      </c>
      <c r="H64" s="26" t="n">
        <v>0.3</v>
      </c>
      <c r="I64" s="26" t="n">
        <v>0.31</v>
      </c>
      <c r="J64" s="7" t="inlineStr">
        <is>
          <t>Marjia (ConvNeXt-Tiny), BioViL-T</t>
        </is>
      </c>
    </row>
    <row r="65">
      <c r="A65" s="10" t="inlineStr">
        <is>
          <t>Edema</t>
        </is>
      </c>
      <c r="B65" s="12" t="n">
        <v>343</v>
      </c>
      <c r="C65" s="26" t="n">
        <v>0.09</v>
      </c>
      <c r="D65" s="26" t="n">
        <v>0.23</v>
      </c>
      <c r="E65" s="26" t="n">
        <v>0.16</v>
      </c>
      <c r="F65" s="26" t="n">
        <v>0.22</v>
      </c>
      <c r="G65" s="26" t="n">
        <v>0.21</v>
      </c>
      <c r="H65" s="26" t="n">
        <v>0.32</v>
      </c>
      <c r="I65" s="28" t="n">
        <v>0.33</v>
      </c>
      <c r="J65" s="7" t="inlineStr">
        <is>
          <t>RAD-DINO</t>
        </is>
      </c>
    </row>
    <row r="66">
      <c r="A66" s="10" t="inlineStr">
        <is>
          <t>Fibrosis</t>
        </is>
      </c>
      <c r="B66" s="12" t="n">
        <v>228</v>
      </c>
      <c r="C66" s="26" t="n">
        <v>0.03</v>
      </c>
      <c r="D66" s="26" t="n">
        <v>0.14</v>
      </c>
      <c r="E66" s="26" t="n">
        <v>0.08</v>
      </c>
      <c r="F66" s="26" t="n">
        <v>0.14</v>
      </c>
      <c r="G66" s="26" t="n">
        <v>0.15</v>
      </c>
      <c r="H66" s="28" t="n">
        <v>0.28</v>
      </c>
      <c r="I66" s="26" t="n">
        <v>0.23</v>
      </c>
      <c r="J66" s="7" t="inlineStr">
        <is>
          <t>ConvNeXt-Small</t>
        </is>
      </c>
    </row>
    <row r="67">
      <c r="A67" s="10" t="inlineStr">
        <is>
          <t>Pneumonia</t>
        </is>
      </c>
      <c r="B67" s="12" t="n">
        <v>210</v>
      </c>
      <c r="C67" s="26" t="n">
        <v>0.03</v>
      </c>
      <c r="D67" s="26" t="n">
        <v>0.09</v>
      </c>
      <c r="E67" s="26" t="n">
        <v>0.06</v>
      </c>
      <c r="F67" s="26" t="n">
        <v>0.05</v>
      </c>
      <c r="G67" s="26" t="n">
        <v>0.07000000000000001</v>
      </c>
      <c r="H67" s="26" t="n">
        <v>0.07000000000000001</v>
      </c>
      <c r="I67" s="28" t="n">
        <v>0.5</v>
      </c>
      <c r="J67" s="7" t="inlineStr">
        <is>
          <t>RAD-DINO</t>
        </is>
      </c>
    </row>
    <row r="68">
      <c r="A68" s="10" t="inlineStr">
        <is>
          <t>Hernia</t>
        </is>
      </c>
      <c r="B68" s="12" t="n">
        <v>62</v>
      </c>
      <c r="C68" s="26" t="n">
        <v>0.02</v>
      </c>
      <c r="D68" s="26" t="n">
        <v>0.37</v>
      </c>
      <c r="E68" s="26" t="n">
        <v>0.4</v>
      </c>
      <c r="F68" s="26" t="n">
        <v>0.4</v>
      </c>
      <c r="G68" s="26" t="n">
        <v>0.16</v>
      </c>
      <c r="H68" s="26" t="n">
        <v>0.34</v>
      </c>
      <c r="I68" s="28" t="n">
        <v>0.47</v>
      </c>
      <c r="J68" s="7" t="inlineStr">
        <is>
          <t>RAD-DINO</t>
        </is>
      </c>
    </row>
    <row r="70">
      <c r="A70" s="8" t="inlineStr">
        <is>
          <t>E. Per-disease recall</t>
        </is>
      </c>
      <c r="B70" s="9" t="n"/>
      <c r="C70" s="9" t="n"/>
      <c r="D70" s="9" t="n"/>
      <c r="E70" s="9" t="n"/>
      <c r="F70" s="9" t="n"/>
      <c r="G70" s="9" t="n"/>
      <c r="H70" s="9" t="n"/>
      <c r="I70" s="9" t="n"/>
      <c r="J70" s="9" t="n"/>
      <c r="K70" s="9" t="n"/>
      <c r="L70" s="9" t="n"/>
      <c r="M70" s="9" t="n"/>
      <c r="N70" s="9" t="n"/>
      <c r="O70" s="9" t="n"/>
      <c r="P70" s="9" t="n"/>
    </row>
    <row r="71" ht="45" customHeight="1">
      <c r="A71" s="5" t="inlineStr">
        <is>
          <t>Disease</t>
        </is>
      </c>
      <c r="B71" s="5" t="inlineStr">
        <is>
          <t>Test cases</t>
        </is>
      </c>
      <c r="C71" s="5" t="inlineStr">
        <is>
          <t>Hasib (DenseNet-121)</t>
        </is>
      </c>
      <c r="D71" s="5" t="inlineStr">
        <is>
          <t>Marjia (ConvNeXt-Tiny)</t>
        </is>
      </c>
      <c r="E71" s="5" t="inlineStr">
        <is>
          <t>Tanzil (DenseNet-121 improved)</t>
        </is>
      </c>
      <c r="F71" s="5" t="inlineStr">
        <is>
          <t>BioViL-T</t>
        </is>
      </c>
      <c r="G71" s="5" t="inlineStr">
        <is>
          <t>ConvNeXt-Base</t>
        </is>
      </c>
      <c r="H71" s="5" t="inlineStr">
        <is>
          <t>ConvNeXt-Small</t>
        </is>
      </c>
      <c r="I71" s="5" t="inlineStr">
        <is>
          <t>RAD-DINO</t>
        </is>
      </c>
      <c r="J71" s="5" t="inlineStr">
        <is>
          <t>Best model</t>
        </is>
      </c>
    </row>
    <row r="72">
      <c r="A72" s="10" t="inlineStr">
        <is>
          <t>Infiltration</t>
        </is>
      </c>
      <c r="B72" s="12" t="n">
        <v>2777</v>
      </c>
      <c r="C72" s="26" t="n">
        <v>0.36</v>
      </c>
      <c r="D72" s="26" t="n">
        <v>0.43</v>
      </c>
      <c r="E72" s="26" t="n">
        <v>0.49</v>
      </c>
      <c r="F72" s="26" t="n">
        <v>0.49</v>
      </c>
      <c r="G72" s="26" t="n">
        <v>0.53</v>
      </c>
      <c r="H72" s="26" t="n">
        <v>0.58</v>
      </c>
      <c r="I72" s="28" t="n">
        <v>0.63</v>
      </c>
      <c r="J72" s="7" t="inlineStr">
        <is>
          <t>RAD-DINO</t>
        </is>
      </c>
    </row>
    <row r="73">
      <c r="A73" s="10" t="inlineStr">
        <is>
          <t>Effusion</t>
        </is>
      </c>
      <c r="B73" s="12" t="n">
        <v>1755</v>
      </c>
      <c r="C73" s="26" t="n">
        <v>0.74</v>
      </c>
      <c r="D73" s="26" t="n">
        <v>0.58</v>
      </c>
      <c r="E73" s="26" t="n">
        <v>0.63</v>
      </c>
      <c r="F73" s="26" t="n">
        <v>0.6</v>
      </c>
      <c r="G73" s="26" t="n">
        <v>0.5600000000000001</v>
      </c>
      <c r="H73" s="26" t="n">
        <v>0.76</v>
      </c>
      <c r="I73" s="28" t="n">
        <v>0.83</v>
      </c>
      <c r="J73" s="7" t="inlineStr">
        <is>
          <t>RAD-DINO</t>
        </is>
      </c>
    </row>
    <row r="74">
      <c r="A74" s="10" t="inlineStr">
        <is>
          <t>Atelectasis</t>
        </is>
      </c>
      <c r="B74" s="12" t="n">
        <v>1685</v>
      </c>
      <c r="C74" s="26" t="n">
        <v>0.55</v>
      </c>
      <c r="D74" s="26" t="n">
        <v>0.54</v>
      </c>
      <c r="E74" s="26" t="n">
        <v>0.48</v>
      </c>
      <c r="F74" s="26" t="n">
        <v>0.52</v>
      </c>
      <c r="G74" s="26" t="n">
        <v>0.52</v>
      </c>
      <c r="H74" s="26" t="n">
        <v>0.44</v>
      </c>
      <c r="I74" s="28" t="n">
        <v>0.66</v>
      </c>
      <c r="J74" s="7" t="inlineStr">
        <is>
          <t>RAD-DINO</t>
        </is>
      </c>
    </row>
    <row r="75">
      <c r="A75" s="10" t="inlineStr">
        <is>
          <t>Nodule</t>
        </is>
      </c>
      <c r="B75" s="12" t="n">
        <v>894</v>
      </c>
      <c r="C75" s="28" t="n">
        <v>0.49</v>
      </c>
      <c r="D75" s="26" t="n">
        <v>0.31</v>
      </c>
      <c r="E75" s="26" t="n">
        <v>0.29</v>
      </c>
      <c r="F75" s="26" t="n">
        <v>0.36</v>
      </c>
      <c r="G75" s="26" t="n">
        <v>0.31</v>
      </c>
      <c r="H75" s="26" t="n">
        <v>0.2</v>
      </c>
      <c r="I75" s="26" t="n">
        <v>0.4</v>
      </c>
      <c r="J75" s="7" t="inlineStr">
        <is>
          <t>Hasib (DenseNet-121)</t>
        </is>
      </c>
    </row>
    <row r="76">
      <c r="A76" s="10" t="inlineStr">
        <is>
          <t>Mass</t>
        </is>
      </c>
      <c r="B76" s="12" t="n">
        <v>848</v>
      </c>
      <c r="C76" s="26" t="n">
        <v>0.53</v>
      </c>
      <c r="D76" s="26" t="n">
        <v>0.5</v>
      </c>
      <c r="E76" s="26" t="n">
        <v>0.42</v>
      </c>
      <c r="F76" s="26" t="n">
        <v>0.52</v>
      </c>
      <c r="G76" s="26" t="n">
        <v>0.41</v>
      </c>
      <c r="H76" s="26" t="n">
        <v>0.45</v>
      </c>
      <c r="I76" s="28" t="n">
        <v>0.61</v>
      </c>
      <c r="J76" s="7" t="inlineStr">
        <is>
          <t>RAD-DINO</t>
        </is>
      </c>
    </row>
    <row r="77">
      <c r="A77" s="10" t="inlineStr">
        <is>
          <t>Pneumothorax</t>
        </is>
      </c>
      <c r="B77" s="12" t="n">
        <v>703</v>
      </c>
      <c r="C77" s="28" t="n">
        <v>0.65</v>
      </c>
      <c r="D77" s="26" t="n">
        <v>0.51</v>
      </c>
      <c r="E77" s="26" t="n">
        <v>0.46</v>
      </c>
      <c r="F77" s="26" t="n">
        <v>0.45</v>
      </c>
      <c r="G77" s="26" t="n">
        <v>0.51</v>
      </c>
      <c r="H77" s="26" t="n">
        <v>0.48</v>
      </c>
      <c r="I77" s="26" t="n">
        <v>0.64</v>
      </c>
      <c r="J77" s="7" t="inlineStr">
        <is>
          <t>Hasib (DenseNet-121)</t>
        </is>
      </c>
    </row>
    <row r="78">
      <c r="A78" s="10" t="inlineStr">
        <is>
          <t>Consolidation</t>
        </is>
      </c>
      <c r="B78" s="12" t="n">
        <v>563</v>
      </c>
      <c r="C78" s="28" t="n">
        <v>0.61</v>
      </c>
      <c r="D78" s="26" t="n">
        <v>0.42</v>
      </c>
      <c r="E78" s="26" t="n">
        <v>0.38</v>
      </c>
      <c r="F78" s="26" t="n">
        <v>0.39</v>
      </c>
      <c r="G78" s="26" t="n">
        <v>0.39</v>
      </c>
      <c r="H78" s="26" t="n">
        <v>0.01</v>
      </c>
      <c r="I78" s="26" t="n">
        <v>0</v>
      </c>
      <c r="J78" s="7" t="inlineStr">
        <is>
          <t>Hasib (DenseNet-121)</t>
        </is>
      </c>
    </row>
    <row r="79">
      <c r="A79" s="10" t="inlineStr">
        <is>
          <t>Pleural Thickening</t>
        </is>
      </c>
      <c r="B79" s="12" t="n">
        <v>444</v>
      </c>
      <c r="C79" s="28" t="n">
        <v>0.51</v>
      </c>
      <c r="D79" s="26" t="n">
        <v>0.21</v>
      </c>
      <c r="E79" s="26" t="n">
        <v>0.31</v>
      </c>
      <c r="F79" s="26" t="n">
        <v>0.32</v>
      </c>
      <c r="G79" s="26" t="n">
        <v>0.24</v>
      </c>
      <c r="H79" s="26" t="n">
        <v>0.03</v>
      </c>
      <c r="I79" s="26" t="n">
        <v>0.11</v>
      </c>
      <c r="J79" s="7" t="inlineStr">
        <is>
          <t>Hasib (DenseNet-121)</t>
        </is>
      </c>
    </row>
    <row r="80">
      <c r="A80" s="10" t="inlineStr">
        <is>
          <t>Cardiomegaly</t>
        </is>
      </c>
      <c r="B80" s="12" t="n">
        <v>367</v>
      </c>
      <c r="C80" s="28" t="n">
        <v>0.7</v>
      </c>
      <c r="D80" s="26" t="n">
        <v>0.32</v>
      </c>
      <c r="E80" s="26" t="n">
        <v>0.29</v>
      </c>
      <c r="F80" s="26" t="n">
        <v>0.33</v>
      </c>
      <c r="G80" s="26" t="n">
        <v>0.29</v>
      </c>
      <c r="H80" s="26" t="n">
        <v>0.28</v>
      </c>
      <c r="I80" s="26" t="n">
        <v>0.32</v>
      </c>
      <c r="J80" s="7" t="inlineStr">
        <is>
          <t>Hasib (DenseNet-121)</t>
        </is>
      </c>
    </row>
    <row r="81">
      <c r="A81" s="10" t="inlineStr">
        <is>
          <t>Emphysema</t>
        </is>
      </c>
      <c r="B81" s="12" t="n">
        <v>351</v>
      </c>
      <c r="C81" s="26" t="n">
        <v>0.45</v>
      </c>
      <c r="D81" s="26" t="n">
        <v>0.4</v>
      </c>
      <c r="E81" s="26" t="n">
        <v>0.27</v>
      </c>
      <c r="F81" s="26" t="n">
        <v>0.36</v>
      </c>
      <c r="G81" s="26" t="n">
        <v>0.49</v>
      </c>
      <c r="H81" s="26" t="n">
        <v>0.66</v>
      </c>
      <c r="I81" s="28" t="n">
        <v>0.74</v>
      </c>
      <c r="J81" s="7" t="inlineStr">
        <is>
          <t>RAD-DINO</t>
        </is>
      </c>
    </row>
    <row r="82">
      <c r="A82" s="10" t="inlineStr">
        <is>
          <t>Edema</t>
        </is>
      </c>
      <c r="B82" s="12" t="n">
        <v>343</v>
      </c>
      <c r="C82" s="28" t="n">
        <v>0.62</v>
      </c>
      <c r="D82" s="26" t="n">
        <v>0.4</v>
      </c>
      <c r="E82" s="26" t="n">
        <v>0.44</v>
      </c>
      <c r="F82" s="26" t="n">
        <v>0.35</v>
      </c>
      <c r="G82" s="26" t="n">
        <v>0.41</v>
      </c>
      <c r="H82" s="26" t="n">
        <v>0.1</v>
      </c>
      <c r="I82" s="26" t="n">
        <v>0.14</v>
      </c>
      <c r="J82" s="7" t="inlineStr">
        <is>
          <t>Hasib (DenseNet-121)</t>
        </is>
      </c>
    </row>
    <row r="83">
      <c r="A83" s="10" t="inlineStr">
        <is>
          <t>Fibrosis</t>
        </is>
      </c>
      <c r="B83" s="12" t="n">
        <v>228</v>
      </c>
      <c r="C83" s="28" t="n">
        <v>0.58</v>
      </c>
      <c r="D83" s="26" t="n">
        <v>0.21</v>
      </c>
      <c r="E83" s="26" t="n">
        <v>0.22</v>
      </c>
      <c r="F83" s="26" t="n">
        <v>0.21</v>
      </c>
      <c r="G83" s="26" t="n">
        <v>0.15</v>
      </c>
      <c r="H83" s="26" t="n">
        <v>0.05</v>
      </c>
      <c r="I83" s="26" t="n">
        <v>0.18</v>
      </c>
      <c r="J83" s="7" t="inlineStr">
        <is>
          <t>Hasib (DenseNet-121)</t>
        </is>
      </c>
    </row>
    <row r="84">
      <c r="A84" s="10" t="inlineStr">
        <is>
          <t>Pneumonia</t>
        </is>
      </c>
      <c r="B84" s="12" t="n">
        <v>210</v>
      </c>
      <c r="C84" s="28" t="n">
        <v>0.54</v>
      </c>
      <c r="D84" s="26" t="n">
        <v>0.16</v>
      </c>
      <c r="E84" s="26" t="n">
        <v>0.24</v>
      </c>
      <c r="F84" s="26" t="n">
        <v>0.24</v>
      </c>
      <c r="G84" s="26" t="n">
        <v>0.08</v>
      </c>
      <c r="H84" s="26" t="n">
        <v>0.04</v>
      </c>
      <c r="I84" s="26" t="n">
        <v>0.01</v>
      </c>
      <c r="J84" s="7" t="inlineStr">
        <is>
          <t>Hasib (DenseNet-121)</t>
        </is>
      </c>
    </row>
    <row r="85">
      <c r="A85" s="10" t="inlineStr">
        <is>
          <t>Hernia</t>
        </is>
      </c>
      <c r="B85" s="12" t="n">
        <v>62</v>
      </c>
      <c r="C85" s="26" t="n">
        <v>0.53</v>
      </c>
      <c r="D85" s="26" t="n">
        <v>0.16</v>
      </c>
      <c r="E85" s="26" t="n">
        <v>0.53</v>
      </c>
      <c r="F85" s="26" t="n">
        <v>0.39</v>
      </c>
      <c r="G85" s="26" t="n">
        <v>0.11</v>
      </c>
      <c r="H85" s="26" t="n">
        <v>0.5</v>
      </c>
      <c r="I85" s="28" t="n">
        <v>0.6899999999999999</v>
      </c>
      <c r="J85" s="7" t="inlineStr">
        <is>
          <t>RAD-DINO</t>
        </is>
      </c>
    </row>
    <row r="86" ht="15" customHeight="1">
      <c r="A86" s="3" t="inlineStr">
        <is>
          <t>Hasib's fixed 0.50 threshold gives high recall but very low precision; most other models were tuned for F1.</t>
        </is>
      </c>
    </row>
    <row r="88">
      <c r="A88" s="8" t="inlineStr">
        <is>
          <t>F. Key findings (team models)</t>
        </is>
      </c>
      <c r="B88" s="9" t="n"/>
      <c r="C88" s="9" t="n"/>
      <c r="D88" s="9" t="n"/>
      <c r="E88" s="9" t="n"/>
      <c r="F88" s="9" t="n"/>
      <c r="G88" s="9" t="n"/>
      <c r="H88" s="9" t="n"/>
      <c r="I88" s="9" t="n"/>
      <c r="J88" s="9" t="n"/>
      <c r="K88" s="9" t="n"/>
      <c r="L88" s="9" t="n"/>
      <c r="M88" s="9" t="n"/>
      <c r="N88" s="9" t="n"/>
      <c r="O88" s="9" t="n"/>
      <c r="P88" s="9" t="n"/>
    </row>
    <row r="89" ht="30" customHeight="1">
      <c r="A89" s="5" t="inlineStr">
        <is>
          <t>#</t>
        </is>
      </c>
      <c r="B89" s="5" t="inlineStr">
        <is>
          <t>Finding</t>
        </is>
      </c>
      <c r="C89" s="5" t="inlineStr">
        <is>
          <t>Evidence</t>
        </is>
      </c>
      <c r="D89" s="15" t="n"/>
      <c r="E89" s="15" t="n"/>
      <c r="F89" s="15" t="n"/>
      <c r="G89" s="15" t="n"/>
      <c r="H89" s="15" t="n"/>
      <c r="I89" s="15" t="n"/>
      <c r="J89" s="15" t="n"/>
      <c r="K89" s="15" t="n"/>
      <c r="L89" s="15" t="n"/>
      <c r="M89" s="15" t="n"/>
      <c r="N89" s="15" t="n"/>
      <c r="O89" s="15" t="n"/>
      <c r="P89" s="13" t="n"/>
    </row>
    <row r="90" ht="30" customHeight="1">
      <c r="A90" s="11" t="n">
        <v>1</v>
      </c>
      <c r="B90" s="7" t="inlineStr">
        <is>
          <t>RAD-DINO is the strongest model overall.</t>
        </is>
      </c>
      <c r="C90" s="7" t="inlineStr">
        <is>
          <t>Test macro AUROC 0.8513 vs BioViL-T 0.836, Marjia 0.831, ConvNeXt-Base 0.819, Tanzil 0.813, ConvNeXt-Small 0.806, Hasib 0.759. Also best macro F1 (0.360), AUPRC (0.295) and MCC (0.328).</t>
        </is>
      </c>
      <c r="D90" s="15" t="n"/>
      <c r="E90" s="15" t="n"/>
      <c r="F90" s="15" t="n"/>
      <c r="G90" s="15" t="n"/>
      <c r="H90" s="15" t="n"/>
      <c r="I90" s="15" t="n"/>
      <c r="J90" s="15" t="n"/>
      <c r="K90" s="15" t="n"/>
      <c r="L90" s="15" t="n"/>
      <c r="M90" s="15" t="n"/>
      <c r="N90" s="15" t="n"/>
      <c r="O90" s="15" t="n"/>
      <c r="P90" s="13" t="n"/>
    </row>
    <row r="91" ht="30" customHeight="1">
      <c r="A91" s="11" t="n">
        <v>2</v>
      </c>
      <c r="B91" s="7" t="inlineStr">
        <is>
          <t>Domain-specific pre-training is what moves the number.</t>
        </is>
      </c>
      <c r="C91" s="7" t="inlineStr">
        <is>
          <t>The two models pre-trained on medical data (RAD-DINO, BioViL-T) take the top two places. Every ImageNet-pretrained model sits between 0.806 and 0.831.</t>
        </is>
      </c>
      <c r="D91" s="15" t="n"/>
      <c r="E91" s="15" t="n"/>
      <c r="F91" s="15" t="n"/>
      <c r="G91" s="15" t="n"/>
      <c r="H91" s="15" t="n"/>
      <c r="I91" s="15" t="n"/>
      <c r="J91" s="15" t="n"/>
      <c r="K91" s="15" t="n"/>
      <c r="L91" s="15" t="n"/>
      <c r="M91" s="15" t="n"/>
      <c r="N91" s="15" t="n"/>
      <c r="O91" s="15" t="n"/>
      <c r="P91" s="13" t="n"/>
    </row>
    <row r="92" ht="30" customHeight="1">
      <c r="A92" s="11" t="n">
        <v>3</v>
      </c>
      <c r="B92" s="7" t="inlineStr">
        <is>
          <t>Bigger does not help within ConvNeXt.</t>
        </is>
      </c>
      <c r="C92" s="7" t="inlineStr">
        <is>
          <t>Tiny 0.831 &gt; Base 0.819 &gt; Small-384 0.806. With ~78k training images the larger models appear to overfit.</t>
        </is>
      </c>
      <c r="D92" s="15" t="n"/>
      <c r="E92" s="15" t="n"/>
      <c r="F92" s="15" t="n"/>
      <c r="G92" s="15" t="n"/>
      <c r="H92" s="15" t="n"/>
      <c r="I92" s="15" t="n"/>
      <c r="J92" s="15" t="n"/>
      <c r="K92" s="15" t="n"/>
      <c r="L92" s="15" t="n"/>
      <c r="M92" s="15" t="n"/>
      <c r="N92" s="15" t="n"/>
      <c r="O92" s="15" t="n"/>
      <c r="P92" s="13" t="n"/>
    </row>
    <row r="93" ht="30" customHeight="1">
      <c r="A93" s="11" t="n">
        <v>4</v>
      </c>
      <c r="B93" s="7" t="inlineStr">
        <is>
          <t>Hasib is the clear outlier.</t>
        </is>
      </c>
      <c r="C93" s="7" t="inlineStr">
        <is>
          <t>0.077 below the leader on AUROC, macro F1 0.18. Top four of the first five span only 0.023 AUROC.</t>
        </is>
      </c>
      <c r="D93" s="15" t="n"/>
      <c r="E93" s="15" t="n"/>
      <c r="F93" s="15" t="n"/>
      <c r="G93" s="15" t="n"/>
      <c r="H93" s="15" t="n"/>
      <c r="I93" s="15" t="n"/>
      <c r="J93" s="15" t="n"/>
      <c r="K93" s="15" t="n"/>
      <c r="L93" s="15" t="n"/>
      <c r="M93" s="15" t="n"/>
      <c r="N93" s="15" t="n"/>
      <c r="O93" s="15" t="n"/>
      <c r="P93" s="13" t="n"/>
    </row>
    <row r="94" ht="30" customHeight="1">
      <c r="A94" s="11" t="n">
        <v>5</v>
      </c>
      <c r="B94" s="7" t="inlineStr">
        <is>
          <t>Threshold tuning matters as much as the backbone.</t>
        </is>
      </c>
      <c r="C94" s="7" t="inlineStr">
        <is>
          <t>Hasib's fixed 0.50: recall ~0.56, precision 0.12. Tuning lifts BioViL-T F1 0.28 → 0.32 and ConvNeXt-Base 0.22 → 0.29.</t>
        </is>
      </c>
      <c r="D94" s="15" t="n"/>
      <c r="E94" s="15" t="n"/>
      <c r="F94" s="15" t="n"/>
      <c r="G94" s="15" t="n"/>
      <c r="H94" s="15" t="n"/>
      <c r="I94" s="15" t="n"/>
      <c r="J94" s="15" t="n"/>
      <c r="K94" s="15" t="n"/>
      <c r="L94" s="15" t="n"/>
      <c r="M94" s="15" t="n"/>
      <c r="N94" s="15" t="n"/>
      <c r="O94" s="15" t="n"/>
      <c r="P94" s="13" t="n"/>
    </row>
    <row r="95" ht="30" customHeight="1">
      <c r="A95" s="11" t="n">
        <v>6</v>
      </c>
      <c r="B95" s="7" t="inlineStr">
        <is>
          <t>RAD-DINO fixed Nodule.</t>
        </is>
      </c>
      <c r="C95" s="7" t="inlineStr">
        <is>
          <t>Nodule AUROC rises from 0.652 (Hasib) / 0.696 (ConvNeXt-Small) / 0.787 (BioViL-T) to 0.813. Fibrosis (0.833) and Pleural Thickening (0.790) improve too.</t>
        </is>
      </c>
      <c r="D95" s="15" t="n"/>
      <c r="E95" s="15" t="n"/>
      <c r="F95" s="15" t="n"/>
      <c r="G95" s="15" t="n"/>
      <c r="H95" s="15" t="n"/>
      <c r="I95" s="15" t="n"/>
      <c r="J95" s="15" t="n"/>
      <c r="K95" s="15" t="n"/>
      <c r="L95" s="15" t="n"/>
      <c r="M95" s="15" t="n"/>
      <c r="N95" s="15" t="n"/>
      <c r="O95" s="15" t="n"/>
      <c r="P95" s="13" t="n"/>
    </row>
    <row r="96" ht="30" customHeight="1">
      <c r="A96" s="11" t="n">
        <v>7</v>
      </c>
      <c r="B96" s="7" t="inlineStr">
        <is>
          <t>Infiltration is the wall nobody has broken.</t>
        </is>
      </c>
      <c r="C96" s="7" t="inlineStr">
        <is>
          <t>Best AUROC across all models is 0.708 (Marjia); it also has the lowest per-class accuracy (0.717–0.778).</t>
        </is>
      </c>
      <c r="D96" s="15" t="n"/>
      <c r="E96" s="15" t="n"/>
      <c r="F96" s="15" t="n"/>
      <c r="G96" s="15" t="n"/>
      <c r="H96" s="15" t="n"/>
      <c r="I96" s="15" t="n"/>
      <c r="J96" s="15" t="n"/>
      <c r="K96" s="15" t="n"/>
      <c r="L96" s="15" t="n"/>
      <c r="M96" s="15" t="n"/>
      <c r="N96" s="15" t="n"/>
      <c r="O96" s="15" t="n"/>
      <c r="P96" s="13" t="n"/>
    </row>
    <row r="97" ht="30" customHeight="1">
      <c r="A97" s="11" t="n">
        <v>8</v>
      </c>
      <c r="B97" s="7" t="inlineStr">
        <is>
          <t>Precision is the shared weak point.</t>
        </is>
      </c>
      <c r="C97" s="7" t="inlineStr">
        <is>
          <t>Best weighted precision is 0.34 (BioViL-T): most flagged cases would be false alarms.</t>
        </is>
      </c>
      <c r="D97" s="15" t="n"/>
      <c r="E97" s="15" t="n"/>
      <c r="F97" s="15" t="n"/>
      <c r="G97" s="15" t="n"/>
      <c r="H97" s="15" t="n"/>
      <c r="I97" s="15" t="n"/>
      <c r="J97" s="15" t="n"/>
      <c r="K97" s="15" t="n"/>
      <c r="L97" s="15" t="n"/>
      <c r="M97" s="15" t="n"/>
      <c r="N97" s="15" t="n"/>
      <c r="O97" s="15" t="n"/>
      <c r="P97" s="13" t="n"/>
    </row>
    <row r="98" ht="30" customHeight="1">
      <c r="A98" s="11" t="n">
        <v>9</v>
      </c>
      <c r="B98" s="7" t="inlineStr">
        <is>
          <t>AUPRC shows the task is harder than AUROC suggests.</t>
        </is>
      </c>
      <c r="C98" s="7" t="inlineStr">
        <is>
          <t>RAD-DINO macro AUPRC 0.295 vs AUROC 0.851. Pneumonia (0.044) and Consolidation (0.129) are barely detected in precision-recall terms.</t>
        </is>
      </c>
      <c r="D98" s="15" t="n"/>
      <c r="E98" s="15" t="n"/>
      <c r="F98" s="15" t="n"/>
      <c r="G98" s="15" t="n"/>
      <c r="H98" s="15" t="n"/>
      <c r="I98" s="15" t="n"/>
      <c r="J98" s="15" t="n"/>
      <c r="K98" s="15" t="n"/>
      <c r="L98" s="15" t="n"/>
      <c r="M98" s="15" t="n"/>
      <c r="N98" s="15" t="n"/>
      <c r="O98" s="15" t="n"/>
      <c r="P98" s="13" t="n"/>
    </row>
    <row r="99" ht="30" customHeight="1">
      <c r="A99" s="11" t="n">
        <v>10</v>
      </c>
      <c r="B99" s="7" t="inlineStr">
        <is>
          <t>Do not lead with accuracy.</t>
        </is>
      </c>
      <c r="C99" s="7" t="inlineStr">
        <is>
          <t>Predicting 'no disease' everywhere already gives ~0.90 Hamming accuracy.</t>
        </is>
      </c>
      <c r="D99" s="15" t="n"/>
      <c r="E99" s="15" t="n"/>
      <c r="F99" s="15" t="n"/>
      <c r="G99" s="15" t="n"/>
      <c r="H99" s="15" t="n"/>
      <c r="I99" s="15" t="n"/>
      <c r="J99" s="15" t="n"/>
      <c r="K99" s="15" t="n"/>
      <c r="L99" s="15" t="n"/>
      <c r="M99" s="15" t="n"/>
      <c r="N99" s="15" t="n"/>
      <c r="O99" s="15" t="n"/>
      <c r="P99" s="13" t="n"/>
    </row>
  </sheetData>
  <mergeCells count="18">
    <mergeCell ref="A51:P51"/>
    <mergeCell ref="C96:P96"/>
    <mergeCell ref="C93:P93"/>
    <mergeCell ref="C99:P99"/>
    <mergeCell ref="C91:P91"/>
    <mergeCell ref="A1:P1"/>
    <mergeCell ref="A2:P2"/>
    <mergeCell ref="C92:P92"/>
    <mergeCell ref="C90:P90"/>
    <mergeCell ref="C95:P95"/>
    <mergeCell ref="C94:P94"/>
    <mergeCell ref="C98:P98"/>
    <mergeCell ref="A3:P3"/>
    <mergeCell ref="A86:P86"/>
    <mergeCell ref="A15:P15"/>
    <mergeCell ref="C89:P89"/>
    <mergeCell ref="C97:P97"/>
    <mergeCell ref="A33:P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5"/>
  <sheetViews>
    <sheetView zoomScale="100" workbookViewId="0">
      <pane ySplit="2" topLeftCell="A3" activePane="bottomLeft" state="frozen"/>
      <selection pane="bottomLeft" activeCell="A1" sqref="A1"/>
    </sheetView>
  </sheetViews>
  <sheetFormatPr baseColWidth="8" defaultRowHeight="15"/>
  <cols>
    <col width="34" customWidth="1" min="1" max="1"/>
    <col width="13" customWidth="1" min="2" max="2"/>
    <col width="15" customWidth="1" min="3" max="3"/>
    <col width="13" customWidth="1" min="4" max="4"/>
    <col width="15" customWidth="1" min="5" max="5"/>
    <col width="13" customWidth="1" min="6" max="6"/>
    <col width="15" customWidth="1" min="7" max="7"/>
    <col width="13" customWidth="1" min="8" max="8"/>
    <col width="15" customWidth="1" min="9" max="9"/>
    <col width="13" customWidth="1" min="10" max="10"/>
    <col width="13" customWidth="1" min="11" max="11"/>
    <col width="13" customWidth="1" min="12" max="12"/>
    <col width="13" customWidth="1" min="13" max="13"/>
  </cols>
  <sheetData>
    <row r="1" ht="24" customHeight="1">
      <c r="A1" s="1" t="inlineStr">
        <is>
          <t>4. Official NIH Split — Final Results (seed 42)</t>
        </is>
      </c>
      <c r="B1" s="2" t="n"/>
      <c r="C1" s="2" t="n"/>
      <c r="D1" s="2" t="n"/>
      <c r="E1" s="2" t="n"/>
      <c r="F1" s="2" t="n"/>
      <c r="G1" s="2" t="n"/>
      <c r="H1" s="2" t="n"/>
      <c r="I1" s="2" t="n"/>
      <c r="J1" s="2" t="n"/>
      <c r="K1" s="2" t="n"/>
      <c r="L1" s="2" t="n"/>
      <c r="M1" s="2" t="n"/>
    </row>
    <row r="2" ht="30" customHeight="1">
      <c r="A2" s="3" t="inlineStr">
        <is>
          <t>Test = official NIH test list (25,596 images, 2,797 patients). One training seed (42), no TTA. Per-class Platt calibration and per-class F1-max thresholds fitted on validation only. 95% CI = patient-level bootstrap, 1,000 resamples. Source: results_s42 (T2, T3, T5).</t>
        </is>
      </c>
    </row>
    <row r="4">
      <c r="A4" s="8" t="inlineStr">
        <is>
          <t>A. Main results (test set)</t>
        </is>
      </c>
      <c r="B4" s="9" t="n"/>
      <c r="C4" s="9" t="n"/>
      <c r="D4" s="9" t="n"/>
      <c r="E4" s="9" t="n"/>
      <c r="F4" s="9" t="n"/>
      <c r="G4" s="9" t="n"/>
      <c r="H4" s="9" t="n"/>
      <c r="I4" s="9" t="n"/>
      <c r="J4" s="9" t="n"/>
      <c r="K4" s="9" t="n"/>
      <c r="L4" s="9" t="n"/>
      <c r="M4" s="9" t="n"/>
    </row>
    <row r="5" ht="45" customHeight="1">
      <c r="A5" s="5" t="inlineStr">
        <is>
          <t>System</t>
        </is>
      </c>
      <c r="B5" s="5" t="inlineStr">
        <is>
          <t>Macro AUROC</t>
        </is>
      </c>
      <c r="C5" s="5" t="inlineStr">
        <is>
          <t>95% CI</t>
        </is>
      </c>
      <c r="D5" s="5" t="inlineStr">
        <is>
          <t>Macro AUPRC</t>
        </is>
      </c>
      <c r="E5" s="5" t="inlineStr">
        <is>
          <t>95% CI</t>
        </is>
      </c>
      <c r="F5" s="5" t="inlineStr">
        <is>
          <t>Macro F1</t>
        </is>
      </c>
      <c r="G5" s="5" t="inlineStr">
        <is>
          <t>95% CI</t>
        </is>
      </c>
      <c r="H5" s="5" t="inlineStr">
        <is>
          <t>Micro F1</t>
        </is>
      </c>
      <c r="I5" s="5" t="inlineStr">
        <is>
          <t>95% CI</t>
        </is>
      </c>
      <c r="J5" s="5" t="inlineStr">
        <is>
          <t>Macro precision</t>
        </is>
      </c>
      <c r="K5" s="5" t="inlineStr">
        <is>
          <t>Macro recall</t>
        </is>
      </c>
      <c r="L5" s="5" t="inlineStr">
        <is>
          <t>Macro specificity</t>
        </is>
      </c>
      <c r="M5" s="5" t="inlineStr">
        <is>
          <t>ECE (lower = better)</t>
        </is>
      </c>
    </row>
    <row r="6">
      <c r="A6" s="10" t="inlineStr">
        <is>
          <t>CNN alone (ConvNeXt-Tiny)</t>
        </is>
      </c>
      <c r="B6" s="29" t="n">
        <v>0.8263038941946353</v>
      </c>
      <c r="C6" s="10" t="inlineStr">
        <is>
          <t>0.820–0.832</t>
        </is>
      </c>
      <c r="D6" s="29" t="n">
        <v>0.2988467530786117</v>
      </c>
      <c r="E6" s="10" t="inlineStr">
        <is>
          <t>0.285–0.315</t>
        </is>
      </c>
      <c r="F6" s="29" t="n">
        <v>0.3539101591861172</v>
      </c>
      <c r="G6" s="10" t="inlineStr">
        <is>
          <t>0.334–0.369</t>
        </is>
      </c>
      <c r="H6" s="29" t="n">
        <v>0.417170004344353</v>
      </c>
      <c r="I6" s="10" t="inlineStr">
        <is>
          <t>0.409–0.425</t>
        </is>
      </c>
      <c r="J6" s="29" t="n">
        <v>0.3188409575300177</v>
      </c>
      <c r="K6" s="29" t="n">
        <v>0.4304203177367586</v>
      </c>
      <c r="L6" s="29" t="n">
        <v>0.903960653489702</v>
      </c>
      <c r="M6" s="29" t="n">
        <v>0.0117265486686971</v>
      </c>
    </row>
    <row r="7">
      <c r="A7" s="10" t="inlineStr">
        <is>
          <t>RAD-DINO alone</t>
        </is>
      </c>
      <c r="B7" s="29" t="n">
        <v>0.8363861099522785</v>
      </c>
      <c r="C7" s="10" t="inlineStr">
        <is>
          <t>0.830–0.842</t>
        </is>
      </c>
      <c r="D7" s="29" t="n">
        <v>0.3223222741433126</v>
      </c>
      <c r="E7" s="10" t="inlineStr">
        <is>
          <t>0.310–0.337</t>
        </is>
      </c>
      <c r="F7" s="29" t="n">
        <v>0.378779775215721</v>
      </c>
      <c r="G7" s="10" t="inlineStr">
        <is>
          <t>0.365–0.390</t>
        </is>
      </c>
      <c r="H7" s="29" t="n">
        <v>0.4317070490632382</v>
      </c>
      <c r="I7" s="10" t="inlineStr">
        <is>
          <t>0.424–0.439</t>
        </is>
      </c>
      <c r="J7" s="29" t="n">
        <v>0.336186775690901</v>
      </c>
      <c r="K7" s="30" t="n">
        <v>0.4615602768128931</v>
      </c>
      <c r="L7" s="29" t="n">
        <v>0.9021727687301044</v>
      </c>
      <c r="M7" s="29" t="n">
        <v>0.0106104804353303</v>
      </c>
    </row>
    <row r="8">
      <c r="A8" s="10" t="inlineStr">
        <is>
          <t>Average of both (every image)</t>
        </is>
      </c>
      <c r="B8" s="30" t="n">
        <v>0.8427777088028113</v>
      </c>
      <c r="C8" s="10" t="inlineStr">
        <is>
          <t>0.837–0.848</t>
        </is>
      </c>
      <c r="D8" s="30" t="n">
        <v>0.3291847222014986</v>
      </c>
      <c r="E8" s="10" t="inlineStr">
        <is>
          <t>0.316–0.343</t>
        </is>
      </c>
      <c r="F8" s="30" t="n">
        <v>0.3817897727426317</v>
      </c>
      <c r="G8" s="10" t="inlineStr">
        <is>
          <t>0.367–0.393</t>
        </is>
      </c>
      <c r="H8" s="30" t="n">
        <v>0.4421124574618046</v>
      </c>
      <c r="I8" s="10" t="inlineStr">
        <is>
          <t>0.434–0.449</t>
        </is>
      </c>
      <c r="J8" s="30" t="n">
        <v>0.3411487110151485</v>
      </c>
      <c r="K8" s="29" t="n">
        <v>0.4561068848082885</v>
      </c>
      <c r="L8" s="30" t="n">
        <v>0.9091943073862364</v>
      </c>
      <c r="M8" s="30" t="n">
        <v>0.0103266730526559</v>
      </c>
    </row>
    <row r="9">
      <c r="A9" s="31" t="inlineStr">
        <is>
          <t>Cascade t = 0.80 (selected on val)</t>
        </is>
      </c>
      <c r="B9" s="32" t="n">
        <v>0.8324751427846907</v>
      </c>
      <c r="C9" s="31" t="inlineStr">
        <is>
          <t>0.826–0.838</t>
        </is>
      </c>
      <c r="D9" s="32" t="n">
        <v>0.3176142434249801</v>
      </c>
      <c r="E9" s="31" t="inlineStr">
        <is>
          <t>0.305–0.332</t>
        </is>
      </c>
      <c r="F9" s="32" t="n">
        <v>0.3708823660981882</v>
      </c>
      <c r="G9" s="31" t="inlineStr">
        <is>
          <t>0.356–0.382</t>
        </is>
      </c>
      <c r="H9" s="32" t="n">
        <v>0.4273452125078</v>
      </c>
      <c r="I9" s="31" t="inlineStr">
        <is>
          <t>0.419–0.435</t>
        </is>
      </c>
      <c r="J9" s="32" t="n">
        <v>0.3401048516202208</v>
      </c>
      <c r="K9" s="32" t="n">
        <v>0.4454138675279247</v>
      </c>
      <c r="L9" s="32" t="n">
        <v>0.9036163113577844</v>
      </c>
      <c r="M9" s="32" t="n">
        <v>0.0112925174264904</v>
      </c>
    </row>
    <row r="10" ht="26" customHeight="1">
      <c r="A10" s="3" t="inlineStr">
        <is>
          <t>Green = best in the column. Highlighted row = the cascade selected on validation (sheet 5). The average of both models is best on AUROC, AUPRC and F1 but runs both models on every image.</t>
        </is>
      </c>
    </row>
    <row r="12">
      <c r="A12" s="8" t="inlineStr">
        <is>
          <t>B. Is the difference real? (paired patient-level bootstrap, Holm-corrected)</t>
        </is>
      </c>
      <c r="B12" s="9" t="n"/>
      <c r="C12" s="9" t="n"/>
      <c r="D12" s="9" t="n"/>
      <c r="E12" s="9" t="n"/>
      <c r="F12" s="9" t="n"/>
      <c r="G12" s="9" t="n"/>
      <c r="H12" s="9" t="n"/>
      <c r="I12" s="9" t="n"/>
      <c r="J12" s="9" t="n"/>
      <c r="K12" s="9" t="n"/>
      <c r="L12" s="9" t="n"/>
      <c r="M12" s="9" t="n"/>
    </row>
    <row r="13" ht="30" customHeight="1">
      <c r="A13" s="5" t="inlineStr">
        <is>
          <t>Comparison (A − B)</t>
        </is>
      </c>
      <c r="B13" s="5" t="inlineStr">
        <is>
          <t>Metric</t>
        </is>
      </c>
      <c r="C13" s="5" t="inlineStr">
        <is>
          <t>Difference</t>
        </is>
      </c>
      <c r="D13" s="5" t="inlineStr">
        <is>
          <t>95% CI</t>
        </is>
      </c>
      <c r="E13" s="5" t="inlineStr">
        <is>
          <t>Relative %</t>
        </is>
      </c>
      <c r="F13" s="5" t="inlineStr">
        <is>
          <t>Holm p</t>
        </is>
      </c>
      <c r="G13" s="5" t="inlineStr">
        <is>
          <t>Significant?</t>
        </is>
      </c>
    </row>
    <row r="14">
      <c r="A14" s="10" t="inlineStr">
        <is>
          <t>RAD-DINO alone − CNN alone</t>
        </is>
      </c>
      <c r="B14" s="10" t="inlineStr">
        <is>
          <t>Macro AUROC</t>
        </is>
      </c>
      <c r="C14" s="33" t="n">
        <v>0.0100822157576432</v>
      </c>
      <c r="D14" s="10" t="inlineStr">
        <is>
          <t>+0.0063 to +0.0140</t>
        </is>
      </c>
      <c r="E14" s="34" t="n">
        <v>0.01220158325342271</v>
      </c>
      <c r="F14" s="26" t="n">
        <v>0.0059940059940059</v>
      </c>
      <c r="G14" s="10" t="inlineStr">
        <is>
          <t>Yes</t>
        </is>
      </c>
    </row>
    <row r="15">
      <c r="A15" s="10" t="inlineStr">
        <is>
          <t>Average of both − CNN alone</t>
        </is>
      </c>
      <c r="B15" s="10" t="inlineStr">
        <is>
          <t>Macro AUROC</t>
        </is>
      </c>
      <c r="C15" s="33" t="n">
        <v>0.0164738146081759</v>
      </c>
      <c r="D15" s="10" t="inlineStr">
        <is>
          <t>+0.0139 to +0.0193</t>
        </is>
      </c>
      <c r="E15" s="34" t="n">
        <v>0.01993675053925813</v>
      </c>
      <c r="F15" s="26" t="n">
        <v>0.0059940059940059</v>
      </c>
      <c r="G15" s="10" t="inlineStr">
        <is>
          <t>Yes</t>
        </is>
      </c>
    </row>
    <row r="16">
      <c r="A16" s="10" t="inlineStr">
        <is>
          <t>Cascade t = 0.80 − CNN alone</t>
        </is>
      </c>
      <c r="B16" s="10" t="inlineStr">
        <is>
          <t>Macro AUROC</t>
        </is>
      </c>
      <c r="C16" s="33" t="n">
        <v>0.0061712485900553</v>
      </c>
      <c r="D16" s="10" t="inlineStr">
        <is>
          <t>+0.0034 to +0.0089</t>
        </is>
      </c>
      <c r="E16" s="34" t="n">
        <v>0.007468497526651765</v>
      </c>
      <c r="F16" s="26" t="n">
        <v>0.0059940059940059</v>
      </c>
      <c r="G16" s="10" t="inlineStr">
        <is>
          <t>Yes</t>
        </is>
      </c>
    </row>
    <row r="17">
      <c r="A17" s="10" t="inlineStr">
        <is>
          <t>Average of both − RAD-DINO alone</t>
        </is>
      </c>
      <c r="B17" s="10" t="inlineStr">
        <is>
          <t>Macro AUROC</t>
        </is>
      </c>
      <c r="C17" s="33" t="n">
        <v>0.0063915988505327</v>
      </c>
      <c r="D17" s="10" t="inlineStr">
        <is>
          <t>+0.0049 to +0.0079</t>
        </is>
      </c>
      <c r="E17" s="34" t="n">
        <v>0.007641923717381482</v>
      </c>
      <c r="F17" s="26" t="n">
        <v>0.0059940059940059</v>
      </c>
      <c r="G17" s="10" t="inlineStr">
        <is>
          <t>Yes</t>
        </is>
      </c>
    </row>
    <row r="18">
      <c r="A18" s="10" t="inlineStr">
        <is>
          <t>Cascade t = 0.80 − RAD-DINO alone</t>
        </is>
      </c>
      <c r="B18" s="10" t="inlineStr">
        <is>
          <t>Macro AUROC</t>
        </is>
      </c>
      <c r="C18" s="33" t="n">
        <v>-0.0039109671675878</v>
      </c>
      <c r="D18" s="10" t="inlineStr">
        <is>
          <t>-0.0065 to -0.0017</t>
        </is>
      </c>
      <c r="E18" s="34" t="n">
        <v>-0.004676030748299995</v>
      </c>
      <c r="F18" s="26" t="n">
        <v>0.0059940059940059</v>
      </c>
      <c r="G18" s="10" t="inlineStr">
        <is>
          <t>Yes</t>
        </is>
      </c>
    </row>
    <row r="19">
      <c r="A19" s="10" t="inlineStr">
        <is>
          <t>Cascade t = 0.80 − Average of both</t>
        </is>
      </c>
      <c r="B19" s="10" t="inlineStr">
        <is>
          <t>Macro AUROC</t>
        </is>
      </c>
      <c r="C19" s="33" t="n">
        <v>-0.0103025660181206</v>
      </c>
      <c r="D19" s="10" t="inlineStr">
        <is>
          <t>-0.0129 to -0.0084</t>
        </is>
      </c>
      <c r="E19" s="34" t="n">
        <v>-0.01222453549792591</v>
      </c>
      <c r="F19" s="26" t="n">
        <v>0.0059940059940059</v>
      </c>
      <c r="G19" s="10" t="inlineStr">
        <is>
          <t>Yes</t>
        </is>
      </c>
    </row>
    <row r="20">
      <c r="A20" s="10" t="inlineStr">
        <is>
          <t>RAD-DINO alone − CNN alone</t>
        </is>
      </c>
      <c r="B20" s="10" t="inlineStr">
        <is>
          <t>Macro AUPRC</t>
        </is>
      </c>
      <c r="C20" s="33" t="n">
        <v>0.0234755210647008</v>
      </c>
      <c r="D20" s="10" t="inlineStr">
        <is>
          <t>+0.0131 to +0.0339</t>
        </is>
      </c>
      <c r="E20" s="34" t="n">
        <v>0.07855370962831111</v>
      </c>
      <c r="F20" s="26" t="n">
        <v>0.0059940059940059</v>
      </c>
      <c r="G20" s="10" t="inlineStr">
        <is>
          <t>Yes</t>
        </is>
      </c>
    </row>
    <row r="21">
      <c r="A21" s="10" t="inlineStr">
        <is>
          <t>Average of both − CNN alone</t>
        </is>
      </c>
      <c r="B21" s="10" t="inlineStr">
        <is>
          <t>Macro AUPRC</t>
        </is>
      </c>
      <c r="C21" s="33" t="n">
        <v>0.0303379691228869</v>
      </c>
      <c r="D21" s="10" t="inlineStr">
        <is>
          <t>+0.0229 to +0.0379</t>
        </is>
      </c>
      <c r="E21" s="34" t="n">
        <v>0.1015168102392149</v>
      </c>
      <c r="F21" s="26" t="n">
        <v>0.0059940059940059</v>
      </c>
      <c r="G21" s="10" t="inlineStr">
        <is>
          <t>Yes</t>
        </is>
      </c>
    </row>
    <row r="22">
      <c r="A22" s="10" t="inlineStr">
        <is>
          <t>Cascade t = 0.80 − CNN alone</t>
        </is>
      </c>
      <c r="B22" s="10" t="inlineStr">
        <is>
          <t>Macro AUPRC</t>
        </is>
      </c>
      <c r="C22" s="33" t="n">
        <v>0.0187674903463683</v>
      </c>
      <c r="D22" s="10" t="inlineStr">
        <is>
          <t>+0.0099 to +0.0290</t>
        </is>
      </c>
      <c r="E22" s="34" t="n">
        <v>0.0627997130737826</v>
      </c>
      <c r="F22" s="26" t="n">
        <v>0.0059940059940059</v>
      </c>
      <c r="G22" s="10" t="inlineStr">
        <is>
          <t>Yes</t>
        </is>
      </c>
    </row>
    <row r="23">
      <c r="A23" s="10" t="inlineStr">
        <is>
          <t>Average of both − RAD-DINO alone</t>
        </is>
      </c>
      <c r="B23" s="10" t="inlineStr">
        <is>
          <t>Macro AUPRC</t>
        </is>
      </c>
      <c r="C23" s="33" t="n">
        <v>0.006862448058186</v>
      </c>
      <c r="D23" s="10" t="inlineStr">
        <is>
          <t>+0.0028 to +0.0113</t>
        </is>
      </c>
      <c r="E23" s="34" t="n">
        <v>0.02129064172318067</v>
      </c>
      <c r="F23" s="26" t="n">
        <v>0.0059940059940059</v>
      </c>
      <c r="G23" s="10" t="inlineStr">
        <is>
          <t>Yes</t>
        </is>
      </c>
    </row>
    <row r="24">
      <c r="A24" s="10" t="inlineStr">
        <is>
          <t>Cascade t = 0.80 − RAD-DINO alone</t>
        </is>
      </c>
      <c r="B24" s="10" t="inlineStr">
        <is>
          <t>Macro AUPRC</t>
        </is>
      </c>
      <c r="C24" s="33" t="n">
        <v>-0.0047080307183324</v>
      </c>
      <c r="D24" s="10" t="inlineStr">
        <is>
          <t>-0.0085 to -0.0012</t>
        </is>
      </c>
      <c r="E24" s="34" t="n">
        <v>-0.01460659438087474</v>
      </c>
      <c r="F24" s="26" t="n">
        <v>0.01</v>
      </c>
      <c r="G24" s="10" t="inlineStr">
        <is>
          <t>Yes</t>
        </is>
      </c>
    </row>
    <row r="25">
      <c r="A25" s="10" t="inlineStr">
        <is>
          <t>Cascade t = 0.80 − Average of both</t>
        </is>
      </c>
      <c r="B25" s="10" t="inlineStr">
        <is>
          <t>Macro AUPRC</t>
        </is>
      </c>
      <c r="C25" s="33" t="n">
        <v>-0.0115704787765185</v>
      </c>
      <c r="D25" s="10" t="inlineStr">
        <is>
          <t>-0.0151 to -0.0077</t>
        </is>
      </c>
      <c r="E25" s="34" t="n">
        <v>-0.03514889360337965</v>
      </c>
      <c r="F25" s="26" t="n">
        <v>0.0059940059940059</v>
      </c>
      <c r="G25" s="10" t="inlineStr">
        <is>
          <t>Yes</t>
        </is>
      </c>
    </row>
    <row r="26">
      <c r="A26" s="10" t="inlineStr">
        <is>
          <t>RAD-DINO alone − CNN alone</t>
        </is>
      </c>
      <c r="B26" s="10" t="inlineStr">
        <is>
          <t>Macro F1</t>
        </is>
      </c>
      <c r="C26" s="33" t="n">
        <v>0.0248696160296038</v>
      </c>
      <c r="D26" s="10" t="inlineStr">
        <is>
          <t>+0.0108 to +0.0390</t>
        </is>
      </c>
      <c r="E26" s="34" t="n">
        <v>0.07027098653171229</v>
      </c>
      <c r="F26" s="26" t="n">
        <v>0.0059940059940059</v>
      </c>
      <c r="G26" s="10" t="inlineStr">
        <is>
          <t>Yes</t>
        </is>
      </c>
    </row>
    <row r="27">
      <c r="A27" s="10" t="inlineStr">
        <is>
          <t>Average of both − CNN alone</t>
        </is>
      </c>
      <c r="B27" s="10" t="inlineStr">
        <is>
          <t>Macro F1</t>
        </is>
      </c>
      <c r="C27" s="33" t="n">
        <v>0.0278796135565144</v>
      </c>
      <c r="D27" s="10" t="inlineStr">
        <is>
          <t>+0.0175 to +0.0407</t>
        </is>
      </c>
      <c r="E27" s="34" t="n">
        <v>0.07877596286195587</v>
      </c>
      <c r="F27" s="26" t="n">
        <v>0.0059940059940059</v>
      </c>
      <c r="G27" s="10" t="inlineStr">
        <is>
          <t>Yes</t>
        </is>
      </c>
    </row>
    <row r="28">
      <c r="A28" s="10" t="inlineStr">
        <is>
          <t>Cascade t = 0.80 − CNN alone</t>
        </is>
      </c>
      <c r="B28" s="10" t="inlineStr">
        <is>
          <t>Macro F1</t>
        </is>
      </c>
      <c r="C28" s="33" t="n">
        <v>0.0169722069120709</v>
      </c>
      <c r="D28" s="10" t="inlineStr">
        <is>
          <t>+0.0028 to +0.0301</t>
        </is>
      </c>
      <c r="E28" s="34" t="n">
        <v>0.04795625802633565</v>
      </c>
      <c r="F28" s="26" t="n">
        <v>0.024</v>
      </c>
      <c r="G28" s="10" t="inlineStr">
        <is>
          <t>Yes</t>
        </is>
      </c>
    </row>
    <row r="29">
      <c r="A29" s="10" t="inlineStr">
        <is>
          <t>Average of both − RAD-DINO alone</t>
        </is>
      </c>
      <c r="B29" s="10" t="inlineStr">
        <is>
          <t>Macro F1</t>
        </is>
      </c>
      <c r="C29" s="33" t="n">
        <v>0.0030099975269106</v>
      </c>
      <c r="D29" s="10" t="inlineStr">
        <is>
          <t>-0.0019 to +0.0085</t>
        </is>
      </c>
      <c r="E29" s="34" t="n">
        <v>0.007946563475297557</v>
      </c>
      <c r="F29" s="26" t="n">
        <v>0.256</v>
      </c>
      <c r="G29" s="35" t="inlineStr">
        <is>
          <t>No</t>
        </is>
      </c>
    </row>
    <row r="30">
      <c r="A30" s="10" t="inlineStr">
        <is>
          <t>Cascade t = 0.80 − RAD-DINO alone</t>
        </is>
      </c>
      <c r="B30" s="10" t="inlineStr">
        <is>
          <t>Macro F1</t>
        </is>
      </c>
      <c r="C30" s="33" t="n">
        <v>-0.007897409117532801</v>
      </c>
      <c r="D30" s="10" t="inlineStr">
        <is>
          <t>-0.0122 to -0.0039</t>
        </is>
      </c>
      <c r="E30" s="34" t="n">
        <v>-0.02084960611488599</v>
      </c>
      <c r="F30" s="26" t="n">
        <v>0.0059940059940059</v>
      </c>
      <c r="G30" s="10" t="inlineStr">
        <is>
          <t>Yes</t>
        </is>
      </c>
    </row>
    <row r="31">
      <c r="A31" s="10" t="inlineStr">
        <is>
          <t>Cascade t = 0.80 − Average of both</t>
        </is>
      </c>
      <c r="B31" s="10" t="inlineStr">
        <is>
          <t>Macro F1</t>
        </is>
      </c>
      <c r="C31" s="33" t="n">
        <v>-0.0109074066444435</v>
      </c>
      <c r="D31" s="10" t="inlineStr">
        <is>
          <t>-0.0174 to -0.0053</t>
        </is>
      </c>
      <c r="E31" s="34" t="n">
        <v>-0.02856914308125351</v>
      </c>
      <c r="F31" s="26" t="n">
        <v>0.0059940059940059</v>
      </c>
      <c r="G31" s="10" t="inlineStr">
        <is>
          <t>Yes</t>
        </is>
      </c>
    </row>
    <row r="32">
      <c r="A32" s="10" t="inlineStr">
        <is>
          <t>RAD-DINO alone − CNN alone</t>
        </is>
      </c>
      <c r="B32" s="10" t="inlineStr">
        <is>
          <t>Micro F1</t>
        </is>
      </c>
      <c r="C32" s="33" t="n">
        <v>0.0145370447188852</v>
      </c>
      <c r="D32" s="10" t="inlineStr">
        <is>
          <t>+0.0104 to +0.0187</t>
        </is>
      </c>
      <c r="E32" s="34" t="n">
        <v>0.03484681201308429</v>
      </c>
      <c r="F32" s="26" t="n">
        <v>0.0059940059940059</v>
      </c>
      <c r="G32" s="10" t="inlineStr">
        <is>
          <t>Yes</t>
        </is>
      </c>
    </row>
    <row r="33">
      <c r="A33" s="10" t="inlineStr">
        <is>
          <t>Average of both − CNN alone</t>
        </is>
      </c>
      <c r="B33" s="10" t="inlineStr">
        <is>
          <t>Micro F1</t>
        </is>
      </c>
      <c r="C33" s="33" t="n">
        <v>0.0249424531174515</v>
      </c>
      <c r="D33" s="10" t="inlineStr">
        <is>
          <t>+0.0217 to +0.0283</t>
        </is>
      </c>
      <c r="E33" s="34" t="n">
        <v>0.05978966094806478</v>
      </c>
      <c r="F33" s="26" t="n">
        <v>0.0059940059940059</v>
      </c>
      <c r="G33" s="10" t="inlineStr">
        <is>
          <t>Yes</t>
        </is>
      </c>
    </row>
    <row r="34">
      <c r="A34" s="10" t="inlineStr">
        <is>
          <t>Cascade t = 0.80 − CNN alone</t>
        </is>
      </c>
      <c r="B34" s="10" t="inlineStr">
        <is>
          <t>Micro F1</t>
        </is>
      </c>
      <c r="C34" s="33" t="n">
        <v>0.010175208163447</v>
      </c>
      <c r="D34" s="10" t="inlineStr">
        <is>
          <t>+0.0061 to +0.0145</t>
        </is>
      </c>
      <c r="E34" s="34" t="n">
        <v>0.02439103496772001</v>
      </c>
      <c r="F34" s="26" t="n">
        <v>0.0059940059940059</v>
      </c>
      <c r="G34" s="10" t="inlineStr">
        <is>
          <t>Yes</t>
        </is>
      </c>
    </row>
    <row r="35">
      <c r="A35" s="10" t="inlineStr">
        <is>
          <t>Average of both − RAD-DINO alone</t>
        </is>
      </c>
      <c r="B35" s="10" t="inlineStr">
        <is>
          <t>Micro F1</t>
        </is>
      </c>
      <c r="C35" s="33" t="n">
        <v>0.0104054083985663</v>
      </c>
      <c r="D35" s="10" t="inlineStr">
        <is>
          <t>+0.0073 to +0.0134</t>
        </is>
      </c>
      <c r="E35" s="34" t="n">
        <v>0.0241029383725493</v>
      </c>
      <c r="F35" s="26" t="n">
        <v>0.0059940059940059</v>
      </c>
      <c r="G35" s="10" t="inlineStr">
        <is>
          <t>Yes</t>
        </is>
      </c>
    </row>
    <row r="36">
      <c r="A36" s="10" t="inlineStr">
        <is>
          <t>Cascade t = 0.80 − RAD-DINO alone</t>
        </is>
      </c>
      <c r="B36" s="10" t="inlineStr">
        <is>
          <t>Micro F1</t>
        </is>
      </c>
      <c r="C36" s="33" t="n">
        <v>-0.0043618365554382</v>
      </c>
      <c r="D36" s="10" t="inlineStr">
        <is>
          <t>-0.0063 to -0.0025</t>
        </is>
      </c>
      <c r="E36" s="34" t="n">
        <v>-0.01010369546872806</v>
      </c>
      <c r="F36" s="26" t="n">
        <v>0.0059940059940059</v>
      </c>
      <c r="G36" s="10" t="inlineStr">
        <is>
          <t>Yes</t>
        </is>
      </c>
    </row>
    <row r="37">
      <c r="A37" s="10" t="inlineStr">
        <is>
          <t>Cascade t = 0.80 − Average of both</t>
        </is>
      </c>
      <c r="B37" s="10" t="inlineStr">
        <is>
          <t>Micro F1</t>
        </is>
      </c>
      <c r="C37" s="33" t="n">
        <v>-0.0147672449540045</v>
      </c>
      <c r="D37" s="10" t="inlineStr">
        <is>
          <t>-0.0182 to -0.0113</t>
        </is>
      </c>
      <c r="E37" s="34" t="n">
        <v>-0.03340155814379046</v>
      </c>
      <c r="F37" s="26" t="n">
        <v>0.0059940059940059</v>
      </c>
      <c r="G37" s="10" t="inlineStr">
        <is>
          <t>Yes</t>
        </is>
      </c>
    </row>
    <row r="38" ht="26" customHeight="1">
      <c r="A38" s="3" t="inlineStr">
        <is>
          <t>Significant = CI excludes 0 and Holm p &lt; 0.05. With 25,596 paired images even small gaps are significant: the cascade is 0.004 AUROC and 0.008 macro F1 below RAD-DINO alone. Yellow = not significant (average vs RAD-DINO on macro F1).</t>
        </is>
      </c>
    </row>
    <row r="40">
      <c r="A40" s="8" t="inlineStr">
        <is>
          <t>C. Validation vs test (macro values) — every system drops on the official test set</t>
        </is>
      </c>
      <c r="B40" s="9" t="n"/>
      <c r="C40" s="9" t="n"/>
      <c r="D40" s="9" t="n"/>
      <c r="E40" s="9" t="n"/>
      <c r="F40" s="9" t="n"/>
      <c r="G40" s="9" t="n"/>
      <c r="H40" s="9" t="n"/>
      <c r="I40" s="9" t="n"/>
      <c r="J40" s="9" t="n"/>
      <c r="K40" s="9" t="n"/>
      <c r="L40" s="9" t="n"/>
      <c r="M40" s="9" t="n"/>
    </row>
    <row r="41" ht="30" customHeight="1">
      <c r="A41" s="5" t="inlineStr">
        <is>
          <t>System</t>
        </is>
      </c>
      <c r="B41" s="5" t="inlineStr">
        <is>
          <t>Val AUROC</t>
        </is>
      </c>
      <c r="C41" s="5" t="inlineStr">
        <is>
          <t>Test AUROC</t>
        </is>
      </c>
      <c r="D41" s="5" t="inlineStr">
        <is>
          <t>Change</t>
        </is>
      </c>
      <c r="E41" s="5" t="inlineStr">
        <is>
          <t>Val F1</t>
        </is>
      </c>
      <c r="F41" s="5" t="inlineStr">
        <is>
          <t>Test F1</t>
        </is>
      </c>
      <c r="G41" s="5" t="inlineStr">
        <is>
          <t>Change</t>
        </is>
      </c>
    </row>
    <row r="42">
      <c r="A42" s="10" t="inlineStr">
        <is>
          <t>CNN alone (ConvNeXt-Tiny)</t>
        </is>
      </c>
      <c r="B42" s="29" t="n">
        <v>0.859775255039285</v>
      </c>
      <c r="C42" s="29" t="n">
        <v>0.8263038941946353</v>
      </c>
      <c r="D42" s="33">
        <f>C42-B42</f>
        <v/>
      </c>
      <c r="E42" s="29" t="n">
        <v>0.3505127163892977</v>
      </c>
      <c r="F42" s="29" t="n">
        <v>0.3539101591861172</v>
      </c>
      <c r="G42" s="33">
        <f>F42-E42</f>
        <v/>
      </c>
    </row>
    <row r="43">
      <c r="A43" s="10" t="inlineStr">
        <is>
          <t>RAD-DINO alone</t>
        </is>
      </c>
      <c r="B43" s="29" t="n">
        <v>0.865113145281588</v>
      </c>
      <c r="C43" s="29" t="n">
        <v>0.8363861099522785</v>
      </c>
      <c r="D43" s="33">
        <f>C43-B43</f>
        <v/>
      </c>
      <c r="E43" s="29" t="n">
        <v>0.3721822637068057</v>
      </c>
      <c r="F43" s="29" t="n">
        <v>0.378779775215721</v>
      </c>
      <c r="G43" s="33">
        <f>F43-E43</f>
        <v/>
      </c>
    </row>
    <row r="44">
      <c r="A44" s="10" t="inlineStr">
        <is>
          <t>Average of both (every image)</t>
        </is>
      </c>
      <c r="B44" s="29" t="n">
        <v>0.873509965102683</v>
      </c>
      <c r="C44" s="29" t="n">
        <v>0.8427777088028113</v>
      </c>
      <c r="D44" s="33">
        <f>C44-B44</f>
        <v/>
      </c>
      <c r="E44" s="29" t="n">
        <v>0.3727362758617883</v>
      </c>
      <c r="F44" s="29" t="n">
        <v>0.3817897727426317</v>
      </c>
      <c r="G44" s="33">
        <f>F44-E44</f>
        <v/>
      </c>
    </row>
    <row r="45">
      <c r="A45" s="10" t="inlineStr">
        <is>
          <t>Cascade t = 0.80 (selected on val)</t>
        </is>
      </c>
      <c r="B45" s="29" t="n">
        <v>0.8637642956965765</v>
      </c>
      <c r="C45" s="29" t="n">
        <v>0.8324751427846907</v>
      </c>
      <c r="D45" s="33">
        <f>C45-B45</f>
        <v/>
      </c>
      <c r="E45" s="29" t="n">
        <v>0.3662946169309947</v>
      </c>
      <c r="F45" s="29" t="n">
        <v>0.3708823660981882</v>
      </c>
      <c r="G45" s="33">
        <f>F45-E45</f>
        <v/>
      </c>
    </row>
    <row r="46" ht="26" customHeight="1">
      <c r="A46" s="3" t="inlineStr">
        <is>
          <t>AUROC falls by about 0.03 for every system: this is the harder official test set (sheet 1, section C), not a cascade problem. F1 rises slightly because the test set has higher prevalence, which makes F1 easier.</t>
        </is>
      </c>
    </row>
    <row r="48">
      <c r="A48" s="8" t="inlineStr">
        <is>
          <t>D. Per-disease AUROC (test)</t>
        </is>
      </c>
      <c r="B48" s="9" t="n"/>
      <c r="C48" s="9" t="n"/>
      <c r="D48" s="9" t="n"/>
      <c r="E48" s="9" t="n"/>
      <c r="F48" s="9" t="n"/>
      <c r="G48" s="9" t="n"/>
      <c r="H48" s="9" t="n"/>
      <c r="I48" s="9" t="n"/>
      <c r="J48" s="9" t="n"/>
      <c r="K48" s="9" t="n"/>
      <c r="L48" s="9" t="n"/>
      <c r="M48" s="9" t="n"/>
    </row>
    <row r="49" ht="30" customHeight="1">
      <c r="A49" s="5" t="inlineStr">
        <is>
          <t>Disease</t>
        </is>
      </c>
      <c r="B49" s="5" t="inlineStr">
        <is>
          <t>Test cases</t>
        </is>
      </c>
      <c r="C49" s="5" t="inlineStr">
        <is>
          <t>Prevalence</t>
        </is>
      </c>
      <c r="D49" s="5" t="inlineStr">
        <is>
          <t>CNN alone</t>
        </is>
      </c>
      <c r="E49" s="5" t="inlineStr">
        <is>
          <t>RAD-DINO alone</t>
        </is>
      </c>
      <c r="F49" s="5" t="inlineStr">
        <is>
          <t>Average of both</t>
        </is>
      </c>
      <c r="G49" s="5" t="inlineStr">
        <is>
          <t>Cascade</t>
        </is>
      </c>
    </row>
    <row r="50">
      <c r="A50" s="10" t="inlineStr">
        <is>
          <t>Infiltration</t>
        </is>
      </c>
      <c r="B50" s="12" t="n">
        <v>6112</v>
      </c>
      <c r="C50" s="18" t="n">
        <v>0.2387873105172683</v>
      </c>
      <c r="D50" s="26" t="n">
        <v>0.7089855191291337</v>
      </c>
      <c r="E50" s="26" t="n">
        <v>0.7094271739679544</v>
      </c>
      <c r="F50" s="28" t="n">
        <v>0.7168405471437967</v>
      </c>
      <c r="G50" s="26" t="n">
        <v>0.7075089081684421</v>
      </c>
    </row>
    <row r="51">
      <c r="A51" s="10" t="inlineStr">
        <is>
          <t>Effusion</t>
        </is>
      </c>
      <c r="B51" s="12" t="n">
        <v>4658</v>
      </c>
      <c r="C51" s="18" t="n">
        <v>0.1819815596186904</v>
      </c>
      <c r="D51" s="26" t="n">
        <v>0.8393305711794797</v>
      </c>
      <c r="E51" s="26" t="n">
        <v>0.8425047845156206</v>
      </c>
      <c r="F51" s="28" t="n">
        <v>0.8477698946461205</v>
      </c>
      <c r="G51" s="26" t="n">
        <v>0.8416450369060738</v>
      </c>
    </row>
    <row r="52">
      <c r="A52" s="10" t="inlineStr">
        <is>
          <t>Atelectasis</t>
        </is>
      </c>
      <c r="B52" s="12" t="n">
        <v>3279</v>
      </c>
      <c r="C52" s="18" t="n">
        <v>0.1281059540553211</v>
      </c>
      <c r="D52" s="26" t="n">
        <v>0.7904646654570862</v>
      </c>
      <c r="E52" s="26" t="n">
        <v>0.7980244335675954</v>
      </c>
      <c r="F52" s="28" t="n">
        <v>0.8043338915244687</v>
      </c>
      <c r="G52" s="26" t="n">
        <v>0.7948751570890499</v>
      </c>
    </row>
    <row r="53">
      <c r="A53" s="10" t="inlineStr">
        <is>
          <t>Pneumothorax</t>
        </is>
      </c>
      <c r="B53" s="12" t="n">
        <v>2665</v>
      </c>
      <c r="C53" s="18" t="n">
        <v>0.1041178309110798</v>
      </c>
      <c r="D53" s="26" t="n">
        <v>0.8822940229449256</v>
      </c>
      <c r="E53" s="26" t="n">
        <v>0.9040798879221889</v>
      </c>
      <c r="F53" s="28" t="n">
        <v>0.9053095905712077</v>
      </c>
      <c r="G53" s="26" t="n">
        <v>0.9017301107989928</v>
      </c>
    </row>
    <row r="54">
      <c r="A54" s="10" t="inlineStr">
        <is>
          <t>Consolidation</t>
        </is>
      </c>
      <c r="B54" s="12" t="n">
        <v>1815</v>
      </c>
      <c r="C54" s="18" t="n">
        <v>0.0709095171120487</v>
      </c>
      <c r="D54" s="26" t="n">
        <v>0.7606011026002539</v>
      </c>
      <c r="E54" s="26" t="n">
        <v>0.7608379168822762</v>
      </c>
      <c r="F54" s="28" t="n">
        <v>0.7719875799637717</v>
      </c>
      <c r="G54" s="26" t="n">
        <v>0.760032287275197</v>
      </c>
    </row>
    <row r="55">
      <c r="A55" s="10" t="inlineStr">
        <is>
          <t>Mass</t>
        </is>
      </c>
      <c r="B55" s="12" t="n">
        <v>1748</v>
      </c>
      <c r="C55" s="18" t="n">
        <v>0.0682919206125957</v>
      </c>
      <c r="D55" s="26" t="n">
        <v>0.8458439611244978</v>
      </c>
      <c r="E55" s="26" t="n">
        <v>0.8512968791860271</v>
      </c>
      <c r="F55" s="28" t="n">
        <v>0.8598363865503643</v>
      </c>
      <c r="G55" s="26" t="n">
        <v>0.8479821693954925</v>
      </c>
    </row>
    <row r="56">
      <c r="A56" s="10" t="inlineStr">
        <is>
          <t>Nodule</t>
        </is>
      </c>
      <c r="B56" s="12" t="n">
        <v>1623</v>
      </c>
      <c r="C56" s="18" t="n">
        <v>0.0634083450539146</v>
      </c>
      <c r="D56" s="26" t="n">
        <v>0.7980560077098442</v>
      </c>
      <c r="E56" s="26" t="n">
        <v>0.8030155818908923</v>
      </c>
      <c r="F56" s="28" t="n">
        <v>0.8169443242255053</v>
      </c>
      <c r="G56" s="26" t="n">
        <v>0.7936013916251387</v>
      </c>
    </row>
    <row r="57">
      <c r="A57" s="10" t="inlineStr">
        <is>
          <t>Pleural Thickening</t>
        </is>
      </c>
      <c r="B57" s="12" t="n">
        <v>1143</v>
      </c>
      <c r="C57" s="18" t="n">
        <v>0.0446554149085794</v>
      </c>
      <c r="D57" s="26" t="n">
        <v>0.793528045427479</v>
      </c>
      <c r="E57" s="26" t="n">
        <v>0.813807132428489</v>
      </c>
      <c r="F57" s="28" t="n">
        <v>0.8166572086312381</v>
      </c>
      <c r="G57" s="26" t="n">
        <v>0.8106403453136427</v>
      </c>
    </row>
    <row r="58">
      <c r="A58" s="10" t="inlineStr">
        <is>
          <t>Emphysema</t>
        </is>
      </c>
      <c r="B58" s="12" t="n">
        <v>1093</v>
      </c>
      <c r="C58" s="18" t="n">
        <v>0.042701984685107</v>
      </c>
      <c r="D58" s="26" t="n">
        <v>0.936363786737244</v>
      </c>
      <c r="E58" s="28" t="n">
        <v>0.949321626468503</v>
      </c>
      <c r="F58" s="26" t="n">
        <v>0.9483410530719412</v>
      </c>
      <c r="G58" s="26" t="n">
        <v>0.945438071907023</v>
      </c>
    </row>
    <row r="59">
      <c r="A59" s="10" t="inlineStr">
        <is>
          <t>Cardiomegaly</t>
        </is>
      </c>
      <c r="B59" s="12" t="n">
        <v>1069</v>
      </c>
      <c r="C59" s="18" t="n">
        <v>0.0417643381778402</v>
      </c>
      <c r="D59" s="26" t="n">
        <v>0.8878488199732388</v>
      </c>
      <c r="E59" s="26" t="n">
        <v>0.8982792983948542</v>
      </c>
      <c r="F59" s="28" t="n">
        <v>0.903599107270455</v>
      </c>
      <c r="G59" s="26" t="n">
        <v>0.8976611483658089</v>
      </c>
    </row>
    <row r="60">
      <c r="A60" s="10" t="inlineStr">
        <is>
          <t>Edema</t>
        </is>
      </c>
      <c r="B60" s="12" t="n">
        <v>925</v>
      </c>
      <c r="C60" s="18" t="n">
        <v>0.0361384591342397</v>
      </c>
      <c r="D60" s="26" t="n">
        <v>0.8579022969303055</v>
      </c>
      <c r="E60" s="26" t="n">
        <v>0.8564471909792326</v>
      </c>
      <c r="F60" s="28" t="n">
        <v>0.8658042104363696</v>
      </c>
      <c r="G60" s="26" t="n">
        <v>0.8559208042706887</v>
      </c>
    </row>
    <row r="61">
      <c r="A61" s="10" t="inlineStr">
        <is>
          <t>Pneumonia</t>
        </is>
      </c>
      <c r="B61" s="12" t="n">
        <v>555</v>
      </c>
      <c r="C61" s="18" t="n">
        <v>0.0216830754805438</v>
      </c>
      <c r="D61" s="26" t="n">
        <v>0.7274721708650066</v>
      </c>
      <c r="E61" s="26" t="n">
        <v>0.7294738610660498</v>
      </c>
      <c r="F61" s="28" t="n">
        <v>0.7415086105633608</v>
      </c>
      <c r="G61" s="26" t="n">
        <v>0.7309099922973171</v>
      </c>
    </row>
    <row r="62">
      <c r="A62" s="10" t="inlineStr">
        <is>
          <t>Fibrosis</t>
        </is>
      </c>
      <c r="B62" s="12" t="n">
        <v>435</v>
      </c>
      <c r="C62" s="18" t="n">
        <v>0.01699484294421</v>
      </c>
      <c r="D62" s="26" t="n">
        <v>0.8294017789801494</v>
      </c>
      <c r="E62" s="26" t="n">
        <v>0.8488265683937967</v>
      </c>
      <c r="F62" s="28" t="n">
        <v>0.850755022711211</v>
      </c>
      <c r="G62" s="26" t="n">
        <v>0.838695216598211</v>
      </c>
    </row>
    <row r="63">
      <c r="A63" s="10" t="inlineStr">
        <is>
          <t>Hernia *</t>
        </is>
      </c>
      <c r="B63" s="12" t="n">
        <v>86</v>
      </c>
      <c r="C63" s="18" t="n">
        <v>0.0033598999843725</v>
      </c>
      <c r="D63" s="26" t="n">
        <v>0.9101617696662504</v>
      </c>
      <c r="E63" s="26" t="n">
        <v>0.94406320366842</v>
      </c>
      <c r="F63" s="28" t="n">
        <v>0.9492004959295488</v>
      </c>
      <c r="G63" s="26" t="n">
        <v>0.9280113589745927</v>
      </c>
    </row>
    <row r="64">
      <c r="A64" s="6" t="inlineStr">
        <is>
          <t>Macro average</t>
        </is>
      </c>
      <c r="B64" s="36" t="n">
        <v>27206</v>
      </c>
      <c r="C64" s="6" t="inlineStr"/>
      <c r="D64" s="37" t="n">
        <v>0.8263038941946353</v>
      </c>
      <c r="E64" s="37" t="n">
        <v>0.8363861099522785</v>
      </c>
      <c r="F64" s="37" t="n">
        <v>0.8427777088028113</v>
      </c>
      <c r="G64" s="37" t="n">
        <v>0.8324751427846907</v>
      </c>
    </row>
    <row r="65" ht="15" customHeight="1">
      <c r="A65" s="3" t="inlineStr">
        <is>
          <t>Green = best system for that disease. * = fewer than 100 test cases, so the value is uncertain.</t>
        </is>
      </c>
    </row>
    <row r="67">
      <c r="A67" s="8" t="inlineStr">
        <is>
          <t>E. Per-disease AUPRC (test)</t>
        </is>
      </c>
      <c r="B67" s="9" t="n"/>
      <c r="C67" s="9" t="n"/>
      <c r="D67" s="9" t="n"/>
      <c r="E67" s="9" t="n"/>
      <c r="F67" s="9" t="n"/>
      <c r="G67" s="9" t="n"/>
      <c r="H67" s="9" t="n"/>
      <c r="I67" s="9" t="n"/>
      <c r="J67" s="9" t="n"/>
      <c r="K67" s="9" t="n"/>
      <c r="L67" s="9" t="n"/>
      <c r="M67" s="9" t="n"/>
    </row>
    <row r="68" ht="30" customHeight="1">
      <c r="A68" s="5" t="inlineStr">
        <is>
          <t>Disease</t>
        </is>
      </c>
      <c r="B68" s="5" t="inlineStr">
        <is>
          <t>Test cases</t>
        </is>
      </c>
      <c r="C68" s="5" t="inlineStr">
        <is>
          <t>Prevalence</t>
        </is>
      </c>
      <c r="D68" s="5" t="inlineStr">
        <is>
          <t>CNN alone</t>
        </is>
      </c>
      <c r="E68" s="5" t="inlineStr">
        <is>
          <t>RAD-DINO alone</t>
        </is>
      </c>
      <c r="F68" s="5" t="inlineStr">
        <is>
          <t>Average of both</t>
        </is>
      </c>
      <c r="G68" s="5" t="inlineStr">
        <is>
          <t>Cascade</t>
        </is>
      </c>
    </row>
    <row r="69">
      <c r="A69" s="10" t="inlineStr">
        <is>
          <t>Infiltration</t>
        </is>
      </c>
      <c r="B69" s="12" t="n">
        <v>6112</v>
      </c>
      <c r="C69" s="18" t="n">
        <v>0.2387873105172683</v>
      </c>
      <c r="D69" s="26" t="n">
        <v>0.4066443198936954</v>
      </c>
      <c r="E69" s="26" t="n">
        <v>0.4023416813090132</v>
      </c>
      <c r="F69" s="28" t="n">
        <v>0.4106895054583275</v>
      </c>
      <c r="G69" s="26" t="n">
        <v>0.4018982002451929</v>
      </c>
    </row>
    <row r="70">
      <c r="A70" s="10" t="inlineStr">
        <is>
          <t>Effusion</t>
        </is>
      </c>
      <c r="B70" s="12" t="n">
        <v>4658</v>
      </c>
      <c r="C70" s="18" t="n">
        <v>0.1819815596186904</v>
      </c>
      <c r="D70" s="26" t="n">
        <v>0.5371343178131344</v>
      </c>
      <c r="E70" s="26" t="n">
        <v>0.5407098398638619</v>
      </c>
      <c r="F70" s="28" t="n">
        <v>0.5503613471224782</v>
      </c>
      <c r="G70" s="26" t="n">
        <v>0.5405529003104361</v>
      </c>
    </row>
    <row r="71">
      <c r="A71" s="10" t="inlineStr">
        <is>
          <t>Atelectasis</t>
        </is>
      </c>
      <c r="B71" s="12" t="n">
        <v>3279</v>
      </c>
      <c r="C71" s="18" t="n">
        <v>0.1281059540553211</v>
      </c>
      <c r="D71" s="26" t="n">
        <v>0.363732204632596</v>
      </c>
      <c r="E71" s="26" t="n">
        <v>0.3852978124328666</v>
      </c>
      <c r="F71" s="28" t="n">
        <v>0.3898722900701032</v>
      </c>
      <c r="G71" s="26" t="n">
        <v>0.384871842491528</v>
      </c>
    </row>
    <row r="72">
      <c r="A72" s="10" t="inlineStr">
        <is>
          <t>Pneumothorax</t>
        </is>
      </c>
      <c r="B72" s="12" t="n">
        <v>2665</v>
      </c>
      <c r="C72" s="18" t="n">
        <v>0.1041178309110798</v>
      </c>
      <c r="D72" s="26" t="n">
        <v>0.4384528267361351</v>
      </c>
      <c r="E72" s="28" t="n">
        <v>0.4942332125083363</v>
      </c>
      <c r="F72" s="26" t="n">
        <v>0.4891355047359946</v>
      </c>
      <c r="G72" s="26" t="n">
        <v>0.4899449497436088</v>
      </c>
    </row>
    <row r="73">
      <c r="A73" s="10" t="inlineStr">
        <is>
          <t>Consolidation</t>
        </is>
      </c>
      <c r="B73" s="12" t="n">
        <v>1815</v>
      </c>
      <c r="C73" s="18" t="n">
        <v>0.0709095171120487</v>
      </c>
      <c r="D73" s="26" t="n">
        <v>0.1791547953973132</v>
      </c>
      <c r="E73" s="26" t="n">
        <v>0.1842282713291058</v>
      </c>
      <c r="F73" s="28" t="n">
        <v>0.194610899914308</v>
      </c>
      <c r="G73" s="26" t="n">
        <v>0.184372696333572</v>
      </c>
    </row>
    <row r="74">
      <c r="A74" s="10" t="inlineStr">
        <is>
          <t>Mass</t>
        </is>
      </c>
      <c r="B74" s="12" t="n">
        <v>1748</v>
      </c>
      <c r="C74" s="18" t="n">
        <v>0.0682919206125957</v>
      </c>
      <c r="D74" s="26" t="n">
        <v>0.3508787117303936</v>
      </c>
      <c r="E74" s="26" t="n">
        <v>0.3812023830123532</v>
      </c>
      <c r="F74" s="28" t="n">
        <v>0.3829176054927119</v>
      </c>
      <c r="G74" s="26" t="n">
        <v>0.373636308252511</v>
      </c>
    </row>
    <row r="75">
      <c r="A75" s="10" t="inlineStr">
        <is>
          <t>Nodule</t>
        </is>
      </c>
      <c r="B75" s="12" t="n">
        <v>1623</v>
      </c>
      <c r="C75" s="18" t="n">
        <v>0.0634083450539146</v>
      </c>
      <c r="D75" s="26" t="n">
        <v>0.2575382726568059</v>
      </c>
      <c r="E75" s="26" t="n">
        <v>0.269250156594584</v>
      </c>
      <c r="F75" s="28" t="n">
        <v>0.2807284429390968</v>
      </c>
      <c r="G75" s="26" t="n">
        <v>0.2616707738370634</v>
      </c>
    </row>
    <row r="76">
      <c r="A76" s="10" t="inlineStr">
        <is>
          <t>Pleural Thickening</t>
        </is>
      </c>
      <c r="B76" s="12" t="n">
        <v>1143</v>
      </c>
      <c r="C76" s="18" t="n">
        <v>0.0446554149085794</v>
      </c>
      <c r="D76" s="26" t="n">
        <v>0.1667919398007057</v>
      </c>
      <c r="E76" s="26" t="n">
        <v>0.1762345864257609</v>
      </c>
      <c r="F76" s="28" t="n">
        <v>0.1832728106200904</v>
      </c>
      <c r="G76" s="26" t="n">
        <v>0.1730087668746184</v>
      </c>
    </row>
    <row r="77">
      <c r="A77" s="10" t="inlineStr">
        <is>
          <t>Emphysema</t>
        </is>
      </c>
      <c r="B77" s="12" t="n">
        <v>1093</v>
      </c>
      <c r="C77" s="18" t="n">
        <v>0.042701984685107</v>
      </c>
      <c r="D77" s="26" t="n">
        <v>0.4722120310811502</v>
      </c>
      <c r="E77" s="26" t="n">
        <v>0.479368551534305</v>
      </c>
      <c r="F77" s="28" t="n">
        <v>0.4953814368890665</v>
      </c>
      <c r="G77" s="26" t="n">
        <v>0.4756176545643159</v>
      </c>
    </row>
    <row r="78">
      <c r="A78" s="10" t="inlineStr">
        <is>
          <t>Cardiomegaly</t>
        </is>
      </c>
      <c r="B78" s="12" t="n">
        <v>1069</v>
      </c>
      <c r="C78" s="18" t="n">
        <v>0.0417643381778402</v>
      </c>
      <c r="D78" s="26" t="n">
        <v>0.3410891708235852</v>
      </c>
      <c r="E78" s="26" t="n">
        <v>0.3629004944199839</v>
      </c>
      <c r="F78" s="28" t="n">
        <v>0.3706857149735483</v>
      </c>
      <c r="G78" s="26" t="n">
        <v>0.3591963584685293</v>
      </c>
    </row>
    <row r="79">
      <c r="A79" s="10" t="inlineStr">
        <is>
          <t>Edema</t>
        </is>
      </c>
      <c r="B79" s="12" t="n">
        <v>925</v>
      </c>
      <c r="C79" s="18" t="n">
        <v>0.0361384591342397</v>
      </c>
      <c r="D79" s="26" t="n">
        <v>0.1921545560277474</v>
      </c>
      <c r="E79" s="26" t="n">
        <v>0.1916073719890167</v>
      </c>
      <c r="F79" s="28" t="n">
        <v>0.2036831814803487</v>
      </c>
      <c r="G79" s="26" t="n">
        <v>0.1909131668731252</v>
      </c>
    </row>
    <row r="80">
      <c r="A80" s="10" t="inlineStr">
        <is>
          <t>Pneumonia</t>
        </is>
      </c>
      <c r="B80" s="12" t="n">
        <v>555</v>
      </c>
      <c r="C80" s="18" t="n">
        <v>0.0216830754805438</v>
      </c>
      <c r="D80" s="26" t="n">
        <v>0.0535117884099396</v>
      </c>
      <c r="E80" s="26" t="n">
        <v>0.0615470950940916</v>
      </c>
      <c r="F80" s="28" t="n">
        <v>0.0621769163210101</v>
      </c>
      <c r="G80" s="26" t="n">
        <v>0.0603293364787642</v>
      </c>
    </row>
    <row r="81">
      <c r="A81" s="10" t="inlineStr">
        <is>
          <t>Fibrosis</t>
        </is>
      </c>
      <c r="B81" s="12" t="n">
        <v>435</v>
      </c>
      <c r="C81" s="18" t="n">
        <v>0.01699484294421</v>
      </c>
      <c r="D81" s="26" t="n">
        <v>0.120473136089823</v>
      </c>
      <c r="E81" s="28" t="n">
        <v>0.1500207440351742</v>
      </c>
      <c r="F81" s="26" t="n">
        <v>0.1476215059855568</v>
      </c>
      <c r="G81" s="26" t="n">
        <v>0.1403225112926663</v>
      </c>
    </row>
    <row r="82">
      <c r="A82" s="10" t="inlineStr">
        <is>
          <t>Hernia *</t>
        </is>
      </c>
      <c r="B82" s="12" t="n">
        <v>86</v>
      </c>
      <c r="C82" s="18" t="n">
        <v>0.0033598999843725</v>
      </c>
      <c r="D82" s="26" t="n">
        <v>0.3040864720075399</v>
      </c>
      <c r="E82" s="26" t="n">
        <v>0.4335696374579221</v>
      </c>
      <c r="F82" s="28" t="n">
        <v>0.4474489488183401</v>
      </c>
      <c r="G82" s="26" t="n">
        <v>0.4102639421837903</v>
      </c>
    </row>
    <row r="83">
      <c r="A83" s="6" t="inlineStr">
        <is>
          <t>Macro average</t>
        </is>
      </c>
      <c r="B83" s="36" t="n">
        <v>27206</v>
      </c>
      <c r="C83" s="6" t="inlineStr"/>
      <c r="D83" s="37" t="n">
        <v>0.2988467530786117</v>
      </c>
      <c r="E83" s="37" t="n">
        <v>0.3223222741433126</v>
      </c>
      <c r="F83" s="37" t="n">
        <v>0.3291847222014986</v>
      </c>
      <c r="G83" s="37" t="n">
        <v>0.3176142434249801</v>
      </c>
    </row>
    <row r="84" ht="15" customHeight="1">
      <c r="A84" s="3" t="inlineStr">
        <is>
          <t>AUPRC is much lower than AUROC because most diseases are rare; compare it with the prevalence column (random guessing scores the prevalence).</t>
        </is>
      </c>
    </row>
    <row r="86">
      <c r="A86" s="8" t="inlineStr">
        <is>
          <t>F. Per-disease F1 (test; thresholds tuned on validation)</t>
        </is>
      </c>
      <c r="B86" s="9" t="n"/>
      <c r="C86" s="9" t="n"/>
      <c r="D86" s="9" t="n"/>
      <c r="E86" s="9" t="n"/>
      <c r="F86" s="9" t="n"/>
      <c r="G86" s="9" t="n"/>
      <c r="H86" s="9" t="n"/>
      <c r="I86" s="9" t="n"/>
      <c r="J86" s="9" t="n"/>
      <c r="K86" s="9" t="n"/>
      <c r="L86" s="9" t="n"/>
      <c r="M86" s="9" t="n"/>
    </row>
    <row r="87" ht="30" customHeight="1">
      <c r="A87" s="5" t="inlineStr">
        <is>
          <t>Disease</t>
        </is>
      </c>
      <c r="B87" s="5" t="inlineStr">
        <is>
          <t>Test cases</t>
        </is>
      </c>
      <c r="C87" s="5" t="inlineStr">
        <is>
          <t>Prevalence</t>
        </is>
      </c>
      <c r="D87" s="5" t="inlineStr">
        <is>
          <t>CNN alone</t>
        </is>
      </c>
      <c r="E87" s="5" t="inlineStr">
        <is>
          <t>RAD-DINO alone</t>
        </is>
      </c>
      <c r="F87" s="5" t="inlineStr">
        <is>
          <t>Average of both</t>
        </is>
      </c>
      <c r="G87" s="5" t="inlineStr">
        <is>
          <t>Cascade</t>
        </is>
      </c>
    </row>
    <row r="88">
      <c r="A88" s="10" t="inlineStr">
        <is>
          <t>Infiltration</t>
        </is>
      </c>
      <c r="B88" s="12" t="n">
        <v>6112</v>
      </c>
      <c r="C88" s="18" t="n">
        <v>0.2387873105172683</v>
      </c>
      <c r="D88" s="26" t="n">
        <v>0.4600434963675905</v>
      </c>
      <c r="E88" s="26" t="n">
        <v>0.4685062402496099</v>
      </c>
      <c r="F88" s="26" t="n">
        <v>0.4678697603361023</v>
      </c>
      <c r="G88" s="28" t="n">
        <v>0.4716943187531422</v>
      </c>
    </row>
    <row r="89">
      <c r="A89" s="10" t="inlineStr">
        <is>
          <t>Effusion</t>
        </is>
      </c>
      <c r="B89" s="12" t="n">
        <v>4658</v>
      </c>
      <c r="C89" s="18" t="n">
        <v>0.1819815596186904</v>
      </c>
      <c r="D89" s="26" t="n">
        <v>0.5406386841824201</v>
      </c>
      <c r="E89" s="26" t="n">
        <v>0.5548527019699981</v>
      </c>
      <c r="F89" s="28" t="n">
        <v>0.5580892293826047</v>
      </c>
      <c r="G89" s="26" t="n">
        <v>0.5539863325740318</v>
      </c>
    </row>
    <row r="90">
      <c r="A90" s="10" t="inlineStr">
        <is>
          <t>Atelectasis</t>
        </is>
      </c>
      <c r="B90" s="12" t="n">
        <v>3279</v>
      </c>
      <c r="C90" s="18" t="n">
        <v>0.1281059540553211</v>
      </c>
      <c r="D90" s="26" t="n">
        <v>0.4136107598574548</v>
      </c>
      <c r="E90" s="26" t="n">
        <v>0.4228060368921184</v>
      </c>
      <c r="F90" s="28" t="n">
        <v>0.4323400097703957</v>
      </c>
      <c r="G90" s="26" t="n">
        <v>0.4171779141104294</v>
      </c>
    </row>
    <row r="91">
      <c r="A91" s="10" t="inlineStr">
        <is>
          <t>Pneumothorax</t>
        </is>
      </c>
      <c r="B91" s="12" t="n">
        <v>2665</v>
      </c>
      <c r="C91" s="18" t="n">
        <v>0.1041178309110798</v>
      </c>
      <c r="D91" s="26" t="n">
        <v>0.4964242107099249</v>
      </c>
      <c r="E91" s="28" t="n">
        <v>0.5404605263157894</v>
      </c>
      <c r="F91" s="26" t="n">
        <v>0.5378465725463513</v>
      </c>
      <c r="G91" s="26" t="n">
        <v>0.5293619901844643</v>
      </c>
    </row>
    <row r="92">
      <c r="A92" s="10" t="inlineStr">
        <is>
          <t>Consolidation</t>
        </is>
      </c>
      <c r="B92" s="12" t="n">
        <v>1815</v>
      </c>
      <c r="C92" s="18" t="n">
        <v>0.0709095171120487</v>
      </c>
      <c r="D92" s="26" t="n">
        <v>0.2532595811932042</v>
      </c>
      <c r="E92" s="26" t="n">
        <v>0.2619727243894703</v>
      </c>
      <c r="F92" s="26" t="n">
        <v>0.2613887660327288</v>
      </c>
      <c r="G92" s="28" t="n">
        <v>0.2622000322113061</v>
      </c>
    </row>
    <row r="93">
      <c r="A93" s="10" t="inlineStr">
        <is>
          <t>Mass</t>
        </is>
      </c>
      <c r="B93" s="12" t="n">
        <v>1748</v>
      </c>
      <c r="C93" s="18" t="n">
        <v>0.0682919206125957</v>
      </c>
      <c r="D93" s="26" t="n">
        <v>0.4135146621334466</v>
      </c>
      <c r="E93" s="26" t="n">
        <v>0.4400417101147028</v>
      </c>
      <c r="F93" s="28" t="n">
        <v>0.4515337423312883</v>
      </c>
      <c r="G93" s="26" t="n">
        <v>0.4381846635367762</v>
      </c>
    </row>
    <row r="94">
      <c r="A94" s="10" t="inlineStr">
        <is>
          <t>Nodule</t>
        </is>
      </c>
      <c r="B94" s="12" t="n">
        <v>1623</v>
      </c>
      <c r="C94" s="18" t="n">
        <v>0.0634083450539146</v>
      </c>
      <c r="D94" s="26" t="n">
        <v>0.3074096754439681</v>
      </c>
      <c r="E94" s="26" t="n">
        <v>0.3176651305683563</v>
      </c>
      <c r="F94" s="28" t="n">
        <v>0.3398657718120805</v>
      </c>
      <c r="G94" s="26" t="n">
        <v>0.3035536366655596</v>
      </c>
    </row>
    <row r="95">
      <c r="A95" s="10" t="inlineStr">
        <is>
          <t>Pleural Thickening</t>
        </is>
      </c>
      <c r="B95" s="12" t="n">
        <v>1143</v>
      </c>
      <c r="C95" s="18" t="n">
        <v>0.0446554149085794</v>
      </c>
      <c r="D95" s="26" t="n">
        <v>0.2339108910891089</v>
      </c>
      <c r="E95" s="28" t="n">
        <v>0.2642934196332254</v>
      </c>
      <c r="F95" s="26" t="n">
        <v>0.234132581100141</v>
      </c>
      <c r="G95" s="26" t="n">
        <v>0.25118839129347</v>
      </c>
    </row>
    <row r="96">
      <c r="A96" s="10" t="inlineStr">
        <is>
          <t>Emphysema</t>
        </is>
      </c>
      <c r="B96" s="12" t="n">
        <v>1093</v>
      </c>
      <c r="C96" s="18" t="n">
        <v>0.042701984685107</v>
      </c>
      <c r="D96" s="26" t="n">
        <v>0.5103312561495572</v>
      </c>
      <c r="E96" s="26" t="n">
        <v>0.5411392405063291</v>
      </c>
      <c r="F96" s="28" t="n">
        <v>0.5499816916880264</v>
      </c>
      <c r="G96" s="26" t="n">
        <v>0.534604227103191</v>
      </c>
    </row>
    <row r="97">
      <c r="A97" s="10" t="inlineStr">
        <is>
          <t>Cardiomegaly</t>
        </is>
      </c>
      <c r="B97" s="12" t="n">
        <v>1069</v>
      </c>
      <c r="C97" s="18" t="n">
        <v>0.0417643381778402</v>
      </c>
      <c r="D97" s="26" t="n">
        <v>0.3979871912168344</v>
      </c>
      <c r="E97" s="26" t="n">
        <v>0.4250425894378194</v>
      </c>
      <c r="F97" s="28" t="n">
        <v>0.4320798158096699</v>
      </c>
      <c r="G97" s="26" t="n">
        <v>0.4156434743065029</v>
      </c>
    </row>
    <row r="98">
      <c r="A98" s="10" t="inlineStr">
        <is>
          <t>Edema</t>
        </is>
      </c>
      <c r="B98" s="12" t="n">
        <v>925</v>
      </c>
      <c r="C98" s="18" t="n">
        <v>0.0361384591342397</v>
      </c>
      <c r="D98" s="26" t="n">
        <v>0.2683397683397683</v>
      </c>
      <c r="E98" s="26" t="n">
        <v>0.2573454913880445</v>
      </c>
      <c r="F98" s="28" t="n">
        <v>0.2687499999999999</v>
      </c>
      <c r="G98" s="26" t="n">
        <v>0.2556008146639511</v>
      </c>
    </row>
    <row r="99">
      <c r="A99" s="10" t="inlineStr">
        <is>
          <t>Pneumonia</t>
        </is>
      </c>
      <c r="B99" s="12" t="n">
        <v>555</v>
      </c>
      <c r="C99" s="18" t="n">
        <v>0.0216830754805438</v>
      </c>
      <c r="D99" s="26" t="n">
        <v>0.08835341365461841</v>
      </c>
      <c r="E99" s="28" t="n">
        <v>0.0894454382826475</v>
      </c>
      <c r="F99" s="26" t="n">
        <v>0.08032128514056221</v>
      </c>
      <c r="G99" s="26" t="n">
        <v>0.08648648648648639</v>
      </c>
    </row>
    <row r="100">
      <c r="A100" s="10" t="inlineStr">
        <is>
          <t>Fibrosis</t>
        </is>
      </c>
      <c r="B100" s="12" t="n">
        <v>435</v>
      </c>
      <c r="C100" s="18" t="n">
        <v>0.01699484294421</v>
      </c>
      <c r="D100" s="26" t="n">
        <v>0.1885656970912738</v>
      </c>
      <c r="E100" s="28" t="n">
        <v>0.2126789366053169</v>
      </c>
      <c r="F100" s="26" t="n">
        <v>0.2108575924468922</v>
      </c>
      <c r="G100" s="26" t="n">
        <v>0.1873767258382643</v>
      </c>
    </row>
    <row r="101">
      <c r="A101" s="10" t="inlineStr">
        <is>
          <t>Hernia *</t>
        </is>
      </c>
      <c r="B101" s="12" t="n">
        <v>86</v>
      </c>
      <c r="C101" s="18" t="n">
        <v>0.0033598999843725</v>
      </c>
      <c r="D101" s="26" t="n">
        <v>0.3823529411764705</v>
      </c>
      <c r="E101" s="26" t="n">
        <v>0.5066666666666667</v>
      </c>
      <c r="F101" s="28" t="n">
        <v>0.52</v>
      </c>
      <c r="G101" s="26" t="n">
        <v>0.4852941176470588</v>
      </c>
    </row>
    <row r="102">
      <c r="A102" s="6" t="inlineStr">
        <is>
          <t>Macro average</t>
        </is>
      </c>
      <c r="B102" s="36" t="n">
        <v>27206</v>
      </c>
      <c r="C102" s="6" t="inlineStr"/>
      <c r="D102" s="37" t="n">
        <v>0.3539101591861172</v>
      </c>
      <c r="E102" s="37" t="n">
        <v>0.378779775215721</v>
      </c>
      <c r="F102" s="37" t="n">
        <v>0.3817897727426317</v>
      </c>
      <c r="G102" s="37" t="n">
        <v>0.3708823660981882</v>
      </c>
    </row>
    <row r="103" ht="15" customHeight="1">
      <c r="A103" s="3" t="inlineStr">
        <is>
          <t>Infiltration, Effusion and Pneumothorax are the most common findings; Pneumonia stays the hardest (F1 &lt; 0.10 for every system).</t>
        </is>
      </c>
    </row>
    <row r="105">
      <c r="A105" s="8" t="inlineStr">
        <is>
          <t>G. Training logs (seed 42)</t>
        </is>
      </c>
      <c r="B105" s="9" t="n"/>
      <c r="C105" s="9" t="n"/>
      <c r="D105" s="9" t="n"/>
      <c r="E105" s="9" t="n"/>
      <c r="F105" s="9" t="n"/>
      <c r="G105" s="9" t="n"/>
      <c r="H105" s="9" t="n"/>
      <c r="I105" s="9" t="n"/>
      <c r="J105" s="9" t="n"/>
      <c r="K105" s="9" t="n"/>
      <c r="L105" s="9" t="n"/>
      <c r="M105" s="9" t="n"/>
    </row>
    <row r="106" ht="30" customHeight="1">
      <c r="A106" s="5" t="inlineStr">
        <is>
          <t>Epoch</t>
        </is>
      </c>
      <c r="B106" s="5" t="inlineStr">
        <is>
          <t>ConvNeXt-Tiny phase</t>
        </is>
      </c>
      <c r="C106" s="5" t="inlineStr">
        <is>
          <t>Train loss</t>
        </is>
      </c>
      <c r="D106" s="5" t="inlineStr">
        <is>
          <t>Val loss</t>
        </is>
      </c>
      <c r="E106" s="5" t="inlineStr">
        <is>
          <t>Val macro AUROC</t>
        </is>
      </c>
      <c r="F106" s="5" t="inlineStr">
        <is>
          <t>Epoch time (min)</t>
        </is>
      </c>
      <c r="G106" s="5" t="inlineStr"/>
      <c r="H106" s="5" t="inlineStr">
        <is>
          <t>RAD-DINO phase</t>
        </is>
      </c>
      <c r="I106" s="5" t="inlineStr">
        <is>
          <t>Train loss</t>
        </is>
      </c>
      <c r="J106" s="5" t="inlineStr">
        <is>
          <t>Val loss</t>
        </is>
      </c>
      <c r="K106" s="5" t="inlineStr">
        <is>
          <t>Val macro AUROC</t>
        </is>
      </c>
      <c r="L106" s="5" t="inlineStr">
        <is>
          <t>Epoch time (min)</t>
        </is>
      </c>
    </row>
    <row r="107">
      <c r="A107" s="11" t="n">
        <v>1</v>
      </c>
      <c r="B107" s="10" t="inlineStr">
        <is>
          <t>warmup</t>
        </is>
      </c>
      <c r="C107" s="29" t="n">
        <v>0.402084870617111</v>
      </c>
      <c r="D107" s="29" t="n">
        <v>0.354785293340683</v>
      </c>
      <c r="E107" s="29" t="n">
        <v>0.739301477024871</v>
      </c>
      <c r="F107" s="38" t="n">
        <v>14.99454744656881</v>
      </c>
      <c r="G107" s="10" t="inlineStr"/>
      <c r="H107" s="10" t="inlineStr">
        <is>
          <t>warmup</t>
        </is>
      </c>
      <c r="I107" s="29" t="n">
        <v>0.361431702518497</v>
      </c>
      <c r="J107" s="29" t="n">
        <v>0.3311251401901245</v>
      </c>
      <c r="K107" s="29" t="n">
        <v>0.8183750880564306</v>
      </c>
      <c r="L107" s="38" t="n">
        <v>33.7904051065445</v>
      </c>
    </row>
    <row r="108">
      <c r="A108" s="11" t="n">
        <v>2</v>
      </c>
      <c r="B108" s="10" t="inlineStr">
        <is>
          <t>finetune</t>
        </is>
      </c>
      <c r="C108" s="29" t="n">
        <v>0.3532969762430046</v>
      </c>
      <c r="D108" s="29" t="n">
        <v>0.3273422718048095</v>
      </c>
      <c r="E108" s="29" t="n">
        <v>0.8186604741605251</v>
      </c>
      <c r="F108" s="38" t="n">
        <v>21.72998099724452</v>
      </c>
      <c r="G108" s="10" t="inlineStr"/>
      <c r="H108" s="10" t="inlineStr">
        <is>
          <t>warmup</t>
        </is>
      </c>
      <c r="I108" s="29" t="n">
        <v>0.3248714658474042</v>
      </c>
      <c r="J108" s="29" t="n">
        <v>0.3143369555473327</v>
      </c>
      <c r="K108" s="29" t="n">
        <v>0.8375178923670287</v>
      </c>
      <c r="L108" s="38" t="n">
        <v>33.78286518255869</v>
      </c>
    </row>
    <row r="109">
      <c r="A109" s="11" t="n">
        <v>3</v>
      </c>
      <c r="B109" s="10" t="inlineStr">
        <is>
          <t>finetune</t>
        </is>
      </c>
      <c r="C109" s="29" t="n">
        <v>0.3248255451326762</v>
      </c>
      <c r="D109" s="29" t="n">
        <v>0.3130320906639099</v>
      </c>
      <c r="E109" s="29" t="n">
        <v>0.8405331245535089</v>
      </c>
      <c r="F109" s="38" t="n">
        <v>21.59419483741125</v>
      </c>
      <c r="G109" s="10" t="inlineStr"/>
      <c r="H109" s="10" t="inlineStr">
        <is>
          <t>finetune</t>
        </is>
      </c>
      <c r="I109" s="29" t="n">
        <v>0.3091795978825781</v>
      </c>
      <c r="J109" s="29" t="n">
        <v>0.299142062664032</v>
      </c>
      <c r="K109" s="29" t="n">
        <v>0.8630490206995372</v>
      </c>
      <c r="L109" s="38" t="n">
        <v>81.53432611227035</v>
      </c>
    </row>
    <row r="110">
      <c r="A110" s="11" t="n">
        <v>4</v>
      </c>
      <c r="B110" s="10" t="inlineStr">
        <is>
          <t>finetune</t>
        </is>
      </c>
      <c r="C110" s="29" t="n">
        <v>0.3134999897959944</v>
      </c>
      <c r="D110" s="29" t="n">
        <v>0.3084875643253326</v>
      </c>
      <c r="E110" s="29" t="n">
        <v>0.8520438187976997</v>
      </c>
      <c r="F110" s="38" t="n">
        <v>21.62397013107936</v>
      </c>
      <c r="G110" s="10" t="inlineStr"/>
      <c r="H110" s="10" t="inlineStr">
        <is>
          <t>finetune</t>
        </is>
      </c>
      <c r="I110" s="29" t="n">
        <v>0.2943321430910524</v>
      </c>
      <c r="J110" s="29" t="n">
        <v>0.2983965277671814</v>
      </c>
      <c r="K110" s="30" t="n">
        <v>0.865113145281588</v>
      </c>
      <c r="L110" s="38" t="n">
        <v>81.55641014973322</v>
      </c>
    </row>
    <row r="111">
      <c r="A111" s="11" t="n">
        <v>5</v>
      </c>
      <c r="B111" s="10" t="inlineStr">
        <is>
          <t>finetune</t>
        </is>
      </c>
      <c r="C111" s="29" t="n">
        <v>0.3039062502257751</v>
      </c>
      <c r="D111" s="29" t="n">
        <v>0.3085280954837799</v>
      </c>
      <c r="E111" s="29" t="n">
        <v>0.856023716119222</v>
      </c>
      <c r="F111" s="38" t="n">
        <v>21.52207263708114</v>
      </c>
      <c r="G111" s="10" t="inlineStr"/>
      <c r="H111" s="10" t="inlineStr">
        <is>
          <t>finetune</t>
        </is>
      </c>
      <c r="I111" s="29" t="n">
        <v>0.2813295144291425</v>
      </c>
      <c r="J111" s="29" t="n">
        <v>0.3009876906871795</v>
      </c>
      <c r="K111" s="29" t="n">
        <v>0.8618133057950538</v>
      </c>
      <c r="L111" s="38" t="n">
        <v>81.54703064362208</v>
      </c>
    </row>
    <row r="112">
      <c r="A112" s="11" t="n">
        <v>6</v>
      </c>
      <c r="B112" s="10" t="inlineStr">
        <is>
          <t>finetune</t>
        </is>
      </c>
      <c r="C112" s="29" t="n">
        <v>0.2939254415789982</v>
      </c>
      <c r="D112" s="29" t="n">
        <v>0.3054070770740509</v>
      </c>
      <c r="E112" s="30" t="n">
        <v>0.859775255039285</v>
      </c>
      <c r="F112" s="38" t="n">
        <v>21.6630399386088</v>
      </c>
      <c r="G112" s="10" t="inlineStr"/>
      <c r="H112" s="10" t="inlineStr">
        <is>
          <t>finetune</t>
        </is>
      </c>
      <c r="I112" s="29" t="n">
        <v>0.273222100770996</v>
      </c>
      <c r="J112" s="29" t="n">
        <v>0.3023116886615753</v>
      </c>
      <c r="K112" s="29" t="n">
        <v>0.8610260703841852</v>
      </c>
      <c r="L112" s="38" t="n">
        <v>81.57414533694585</v>
      </c>
    </row>
    <row r="113">
      <c r="A113" s="11" t="n">
        <v>7</v>
      </c>
      <c r="B113" s="10" t="inlineStr">
        <is>
          <t>finetune</t>
        </is>
      </c>
      <c r="C113" s="29" t="n">
        <v>0.2841094215065886</v>
      </c>
      <c r="D113" s="29" t="n">
        <v>0.3126247227191925</v>
      </c>
      <c r="E113" s="29" t="n">
        <v>0.8582248182833592</v>
      </c>
      <c r="F113" s="38" t="n">
        <v>21.62318001588186</v>
      </c>
      <c r="G113" s="10" t="inlineStr"/>
      <c r="H113" s="10" t="inlineStr"/>
      <c r="I113" s="39" t="inlineStr"/>
      <c r="J113" s="39" t="inlineStr"/>
      <c r="K113" s="39" t="inlineStr"/>
      <c r="L113" s="40" t="inlineStr"/>
    </row>
    <row r="114">
      <c r="A114" s="11" t="n">
        <v>8</v>
      </c>
      <c r="B114" s="10" t="inlineStr">
        <is>
          <t>finetune</t>
        </is>
      </c>
      <c r="C114" s="29" t="n">
        <v>0.275669043975604</v>
      </c>
      <c r="D114" s="29" t="n">
        <v>0.3160390257835388</v>
      </c>
      <c r="E114" s="29" t="n">
        <v>0.8575029298618949</v>
      </c>
      <c r="F114" s="38" t="n">
        <v>21.71298622687658</v>
      </c>
      <c r="G114" s="10" t="inlineStr"/>
      <c r="H114" s="10" t="inlineStr"/>
      <c r="I114" s="39" t="inlineStr"/>
      <c r="J114" s="39" t="inlineStr"/>
      <c r="K114" s="39" t="inlineStr"/>
      <c r="L114" s="40" t="inlineStr"/>
    </row>
    <row r="115" ht="26" customHeight="1">
      <c r="A115" s="3" t="inlineStr">
        <is>
          <t>Green = best validation AUROC (the checkpoint kept). Total training: ConvNeXt-Tiny 2.77 h, RAD-DINO 6.56 h on one Tesla T4. RAD-DINO results use EMA weights.</t>
        </is>
      </c>
    </row>
  </sheetData>
  <mergeCells count="9">
    <mergeCell ref="A46:M46"/>
    <mergeCell ref="A84:M84"/>
    <mergeCell ref="A1:M1"/>
    <mergeCell ref="A103:M103"/>
    <mergeCell ref="A65:M65"/>
    <mergeCell ref="A38:M38"/>
    <mergeCell ref="A2:M2"/>
    <mergeCell ref="A10:M10"/>
    <mergeCell ref="A115:M1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5"/>
  <sheetViews>
    <sheetView zoomScale="10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 width="12" customWidth="1" min="12" max="12"/>
  </cols>
  <sheetData>
    <row r="1" ht="24" customHeight="1">
      <c r="A1" s="1" t="inlineStr">
        <is>
          <t>5. Two-Stage Cascade: CNN (ConvNeXt-Tiny) → Transformer (RAD-DINO) — official split, seed 42</t>
        </is>
      </c>
      <c r="B1" s="2" t="n"/>
      <c r="C1" s="2" t="n"/>
      <c r="D1" s="2" t="n"/>
      <c r="E1" s="2" t="n"/>
      <c r="F1" s="2" t="n"/>
      <c r="G1" s="2" t="n"/>
      <c r="H1" s="2" t="n"/>
      <c r="I1" s="2" t="n"/>
      <c r="J1" s="2" t="n"/>
      <c r="K1" s="2" t="n"/>
      <c r="L1" s="2" t="n"/>
    </row>
    <row r="2" ht="30" customHeight="1">
      <c r="A2" s="3" t="inlineStr">
        <is>
          <t>A fast CNN decides the images it is confident about; RAD-DINO is called only for the rest. Everything is chosen on validation and then applied unchanged to the official test set. Source: results_s42 (T4, T5, T6, timing_*.json).</t>
        </is>
      </c>
    </row>
    <row r="4">
      <c r="A4" s="8" t="inlineStr">
        <is>
          <t>A. How it works</t>
        </is>
      </c>
      <c r="B4" s="9" t="n"/>
      <c r="C4" s="9" t="n"/>
      <c r="D4" s="9" t="n"/>
      <c r="E4" s="9" t="n"/>
      <c r="F4" s="9" t="n"/>
      <c r="G4" s="9" t="n"/>
      <c r="H4" s="9" t="n"/>
      <c r="I4" s="9" t="n"/>
      <c r="J4" s="9" t="n"/>
      <c r="K4" s="9" t="n"/>
      <c r="L4" s="9" t="n"/>
    </row>
    <row r="5" ht="30" customHeight="1">
      <c r="A5" s="5" t="inlineStr">
        <is>
          <t>Component</t>
        </is>
      </c>
      <c r="B5" s="5" t="inlineStr">
        <is>
          <t>Details</t>
        </is>
      </c>
      <c r="C5" s="15" t="n"/>
      <c r="D5" s="15" t="n"/>
      <c r="E5" s="15" t="n"/>
      <c r="F5" s="15" t="n"/>
      <c r="G5" s="15" t="n"/>
      <c r="H5" s="15" t="n"/>
      <c r="I5" s="15" t="n"/>
      <c r="J5" s="15" t="n"/>
      <c r="K5" s="15" t="n"/>
      <c r="L5" s="13" t="n"/>
    </row>
    <row r="6">
      <c r="A6" s="6" t="inlineStr">
        <is>
          <t>Stage 1 (CNN)</t>
        </is>
      </c>
      <c r="B6" s="7" t="inlineStr">
        <is>
          <t>ConvNeXt-Tiny, 384 px, scores all 14 findings.</t>
        </is>
      </c>
      <c r="C6" s="15" t="n"/>
      <c r="D6" s="15" t="n"/>
      <c r="E6" s="15" t="n"/>
      <c r="F6" s="15" t="n"/>
      <c r="G6" s="15" t="n"/>
      <c r="H6" s="15" t="n"/>
      <c r="I6" s="15" t="n"/>
      <c r="J6" s="15" t="n"/>
      <c r="K6" s="15" t="n"/>
      <c r="L6" s="13" t="n"/>
    </row>
    <row r="7">
      <c r="A7" s="6" t="inlineStr">
        <is>
          <t>Calibration</t>
        </is>
      </c>
      <c r="B7" s="7" t="inlineStr">
        <is>
          <t>Per-class Platt scaling, fitted on validation, so scores behave like probabilities.</t>
        </is>
      </c>
      <c r="C7" s="15" t="n"/>
      <c r="D7" s="15" t="n"/>
      <c r="E7" s="15" t="n"/>
      <c r="F7" s="15" t="n"/>
      <c r="G7" s="15" t="n"/>
      <c r="H7" s="15" t="n"/>
      <c r="I7" s="15" t="n"/>
      <c r="J7" s="15" t="n"/>
      <c r="K7" s="15" t="n"/>
      <c r="L7" s="13" t="n"/>
    </row>
    <row r="8">
      <c r="A8" s="6" t="inlineStr">
        <is>
          <t>Gate</t>
        </is>
      </c>
      <c r="B8" s="7" t="inlineStr">
        <is>
          <t>A finding is 'confident' if p ≤ 1 − t (No) or p ≥ t (Yes). An image stays with the CNN only if ALL 14 findings are confident.</t>
        </is>
      </c>
      <c r="C8" s="15" t="n"/>
      <c r="D8" s="15" t="n"/>
      <c r="E8" s="15" t="n"/>
      <c r="F8" s="15" t="n"/>
      <c r="G8" s="15" t="n"/>
      <c r="H8" s="15" t="n"/>
      <c r="I8" s="15" t="n"/>
      <c r="J8" s="15" t="n"/>
      <c r="K8" s="15" t="n"/>
      <c r="L8" s="13" t="n"/>
    </row>
    <row r="9">
      <c r="A9" s="6" t="inlineStr">
        <is>
          <t>Stage 2 (Transformer)</t>
        </is>
      </c>
      <c r="B9" s="7" t="inlineStr">
        <is>
          <t>RAD-DINO, 518 px, decides all 14 findings of every routed image (per-image routing).</t>
        </is>
      </c>
      <c r="C9" s="15" t="n"/>
      <c r="D9" s="15" t="n"/>
      <c r="E9" s="15" t="n"/>
      <c r="F9" s="15" t="n"/>
      <c r="G9" s="15" t="n"/>
      <c r="H9" s="15" t="n"/>
      <c r="I9" s="15" t="n"/>
      <c r="J9" s="15" t="n"/>
      <c r="K9" s="15" t="n"/>
      <c r="L9" s="13" t="n"/>
    </row>
    <row r="10">
      <c r="A10" s="6" t="inlineStr">
        <is>
          <t>Decision thresholds</t>
        </is>
      </c>
      <c r="B10" s="7" t="inlineStr">
        <is>
          <t>Per class, re-tuned on validation to maximise F1 given the CNN's fixed decisions.</t>
        </is>
      </c>
      <c r="C10" s="15" t="n"/>
      <c r="D10" s="15" t="n"/>
      <c r="E10" s="15" t="n"/>
      <c r="F10" s="15" t="n"/>
      <c r="G10" s="15" t="n"/>
      <c r="H10" s="15" t="n"/>
      <c r="I10" s="15" t="n"/>
      <c r="J10" s="15" t="n"/>
      <c r="K10" s="15" t="n"/>
      <c r="L10" s="13" t="n"/>
    </row>
    <row r="11">
      <c r="A11" s="6" t="inlineStr">
        <is>
          <t>Selection rule</t>
        </is>
      </c>
      <c r="B11" s="7" t="inlineStr">
        <is>
          <t>Cheapest gate (fewest validation images sent to RAD-DINO) whose validation macro F1 is within 0.01 of RAD-DINO alone.</t>
        </is>
      </c>
      <c r="C11" s="15" t="n"/>
      <c r="D11" s="15" t="n"/>
      <c r="E11" s="15" t="n"/>
      <c r="F11" s="15" t="n"/>
      <c r="G11" s="15" t="n"/>
      <c r="H11" s="15" t="n"/>
      <c r="I11" s="15" t="n"/>
      <c r="J11" s="15" t="n"/>
      <c r="K11" s="15" t="n"/>
      <c r="L11" s="13" t="n"/>
    </row>
    <row r="12">
      <c r="A12" s="6" t="inlineStr">
        <is>
          <t>Selected</t>
        </is>
      </c>
      <c r="B12" s="7" t="inlineStr">
        <is>
          <t>Stage 2 = RAD-DINO, per-image routing, gate t=0.80 (flat).</t>
        </is>
      </c>
      <c r="C12" s="15" t="n"/>
      <c r="D12" s="15" t="n"/>
      <c r="E12" s="15" t="n"/>
      <c r="F12" s="15" t="n"/>
      <c r="G12" s="15" t="n"/>
      <c r="H12" s="15" t="n"/>
      <c r="I12" s="15" t="n"/>
      <c r="J12" s="15" t="n"/>
      <c r="K12" s="15" t="n"/>
      <c r="L12" s="13" t="n"/>
    </row>
    <row r="13">
      <c r="A13" s="6" t="inlineStr">
        <is>
          <t>Seed / TTA</t>
        </is>
      </c>
      <c r="B13" s="7" t="inlineStr">
        <is>
          <t>One training seed (42); no test-time augmentation.</t>
        </is>
      </c>
      <c r="C13" s="15" t="n"/>
      <c r="D13" s="15" t="n"/>
      <c r="E13" s="15" t="n"/>
      <c r="F13" s="15" t="n"/>
      <c r="G13" s="15" t="n"/>
      <c r="H13" s="15" t="n"/>
      <c r="I13" s="15" t="n"/>
      <c r="J13" s="15" t="n"/>
      <c r="K13" s="15" t="n"/>
      <c r="L13" s="13" t="n"/>
    </row>
    <row r="15">
      <c r="A15" s="8" t="inlineStr">
        <is>
          <t>B. Gate sweep (per-image routing)</t>
        </is>
      </c>
      <c r="B15" s="9" t="n"/>
      <c r="C15" s="9" t="n"/>
      <c r="D15" s="9" t="n"/>
      <c r="E15" s="9" t="n"/>
      <c r="F15" s="9" t="n"/>
      <c r="G15" s="9" t="n"/>
      <c r="H15" s="9" t="n"/>
      <c r="I15" s="9" t="n"/>
      <c r="J15" s="9" t="n"/>
      <c r="K15" s="9" t="n"/>
      <c r="L15" s="9" t="n"/>
    </row>
    <row r="16" ht="45" customHeight="1">
      <c r="A16" s="5" t="inlineStr">
        <is>
          <t>Stage 2</t>
        </is>
      </c>
      <c r="B16" s="5" t="inlineStr">
        <is>
          <t>Gate</t>
        </is>
      </c>
      <c r="C16" s="5" t="inlineStr">
        <is>
          <t>Share to RAD-DINO (val)</t>
        </is>
      </c>
      <c r="D16" s="5" t="inlineStr">
        <is>
          <t>Share to RAD-DINO (test)</t>
        </is>
      </c>
      <c r="E16" s="5" t="inlineStr">
        <is>
          <t>Compute vs RAD-DINO (val)</t>
        </is>
      </c>
      <c r="F16" s="5" t="inlineStr">
        <is>
          <t>Compute vs RAD-DINO (test)</t>
        </is>
      </c>
      <c r="G16" s="5" t="inlineStr">
        <is>
          <t>Macro F1 (val)</t>
        </is>
      </c>
      <c r="H16" s="5" t="inlineStr">
        <is>
          <t>Macro F1 (test)</t>
        </is>
      </c>
      <c r="I16" s="5" t="inlineStr">
        <is>
          <t>Macro AUROC (test)</t>
        </is>
      </c>
      <c r="J16" s="5" t="inlineStr">
        <is>
          <t>Macro recall (test)</t>
        </is>
      </c>
      <c r="K16" s="5" t="inlineStr">
        <is>
          <t>Positive labels missed by CNN (test)</t>
        </is>
      </c>
      <c r="L16" s="5" t="inlineStr">
        <is>
          <t>Selected</t>
        </is>
      </c>
    </row>
    <row r="17">
      <c r="A17" s="10" t="inlineStr">
        <is>
          <t>RAD-DINO</t>
        </is>
      </c>
      <c r="B17" s="10" t="inlineStr">
        <is>
          <t>flat t=0.70</t>
        </is>
      </c>
      <c r="C17" s="18" t="n">
        <v>0.2730805837563452</v>
      </c>
      <c r="D17" s="18" t="n">
        <v>0.5691514299109236</v>
      </c>
      <c r="E17" s="16" t="n">
        <v>0.4485562661391109</v>
      </c>
      <c r="F17" s="16" t="n">
        <v>0.7446271122936892</v>
      </c>
      <c r="G17" s="29" t="n">
        <v>0.3390255488903905</v>
      </c>
      <c r="H17" s="29" t="n">
        <v>0.3471589264232699</v>
      </c>
      <c r="I17" s="29" t="n">
        <v>0.8303210005978435</v>
      </c>
      <c r="J17" s="29" t="n">
        <v>0.3949070576426703</v>
      </c>
      <c r="K17" s="12" t="n">
        <v>7024</v>
      </c>
      <c r="L17" s="10" t="inlineStr"/>
    </row>
    <row r="18">
      <c r="A18" s="31" t="inlineStr">
        <is>
          <t>RAD-DINO</t>
        </is>
      </c>
      <c r="B18" s="31" t="inlineStr">
        <is>
          <t>flat t=0.80</t>
        </is>
      </c>
      <c r="C18" s="41" t="n">
        <v>0.4447969543147208</v>
      </c>
      <c r="D18" s="41" t="n">
        <v>0.7756680731364276</v>
      </c>
      <c r="E18" s="42" t="n">
        <v>0.6202726366974864</v>
      </c>
      <c r="F18" s="42" t="n">
        <v>0.9511437555191932</v>
      </c>
      <c r="G18" s="32" t="n">
        <v>0.3662946169309947</v>
      </c>
      <c r="H18" s="32" t="n">
        <v>0.3708823660981882</v>
      </c>
      <c r="I18" s="32" t="n">
        <v>0.8324751427846907</v>
      </c>
      <c r="J18" s="32" t="n">
        <v>0.4454138675279247</v>
      </c>
      <c r="K18" s="43" t="n">
        <v>2593</v>
      </c>
      <c r="L18" s="31" t="inlineStr">
        <is>
          <t>Yes</t>
        </is>
      </c>
    </row>
    <row r="19">
      <c r="A19" s="10" t="inlineStr">
        <is>
          <t>RAD-DINO</t>
        </is>
      </c>
      <c r="B19" s="10" t="inlineStr">
        <is>
          <t>flat t=0.90</t>
        </is>
      </c>
      <c r="C19" s="18" t="n">
        <v>0.731361040609137</v>
      </c>
      <c r="D19" s="18" t="n">
        <v>0.9327629317080792</v>
      </c>
      <c r="E19" s="16" t="n">
        <v>0.9068367229919028</v>
      </c>
      <c r="F19" s="16" t="n">
        <v>1.108238614090845</v>
      </c>
      <c r="G19" s="29" t="n">
        <v>0.3687814067250294</v>
      </c>
      <c r="H19" s="29" t="n">
        <v>0.3793972240970218</v>
      </c>
      <c r="I19" s="29" t="n">
        <v>0.8354440949952912</v>
      </c>
      <c r="J19" s="29" t="n">
        <v>0.464045083585712</v>
      </c>
      <c r="K19" s="12" t="n">
        <v>466</v>
      </c>
      <c r="L19" s="10" t="inlineStr"/>
    </row>
    <row r="20">
      <c r="A20" s="10" t="inlineStr">
        <is>
          <t>RAD-DINO</t>
        </is>
      </c>
      <c r="B20" s="10" t="inlineStr">
        <is>
          <t>flat t=0.95</t>
        </is>
      </c>
      <c r="C20" s="18" t="n">
        <v>0.9069638324873096</v>
      </c>
      <c r="D20" s="18" t="n">
        <v>0.9827316768245038</v>
      </c>
      <c r="E20" s="16" t="n">
        <v>1.082439514870075</v>
      </c>
      <c r="F20" s="16" t="n">
        <v>1.15820735920727</v>
      </c>
      <c r="G20" s="29" t="n">
        <v>0.3719048937771091</v>
      </c>
      <c r="H20" s="29" t="n">
        <v>0.3794500413354681</v>
      </c>
      <c r="I20" s="29" t="n">
        <v>0.8363229631498587</v>
      </c>
      <c r="J20" s="29" t="n">
        <v>0.4644686952846559</v>
      </c>
      <c r="K20" s="12" t="n">
        <v>77</v>
      </c>
      <c r="L20" s="10" t="inlineStr"/>
    </row>
    <row r="21">
      <c r="A21" s="10" t="inlineStr">
        <is>
          <t>RAD-DINO</t>
        </is>
      </c>
      <c r="B21" s="10" t="inlineStr">
        <is>
          <t>flat t=0.98</t>
        </is>
      </c>
      <c r="C21" s="18" t="n">
        <v>0.9911167512690356</v>
      </c>
      <c r="D21" s="18" t="n">
        <v>0.9985935302391</v>
      </c>
      <c r="E21" s="16" t="n">
        <v>1.166592433651801</v>
      </c>
      <c r="F21" s="16" t="n">
        <v>1.174069212621866</v>
      </c>
      <c r="G21" s="29" t="n">
        <v>0.3721822637068057</v>
      </c>
      <c r="H21" s="29" t="n">
        <v>0.3787996840260584</v>
      </c>
      <c r="I21" s="29" t="n">
        <v>0.8364020331208522</v>
      </c>
      <c r="J21" s="29" t="n">
        <v>0.4615602768128931</v>
      </c>
      <c r="K21" s="12" t="n">
        <v>1</v>
      </c>
      <c r="L21" s="10" t="inlineStr"/>
    </row>
    <row r="22">
      <c r="A22" s="10" t="inlineStr">
        <is>
          <t>RAD-DINO</t>
        </is>
      </c>
      <c r="B22" s="10" t="inlineStr">
        <is>
          <t>per-class miss&lt;=1%</t>
        </is>
      </c>
      <c r="C22" s="18" t="n">
        <v>0.99563769035533</v>
      </c>
      <c r="D22" s="18" t="n">
        <v>0.998867010470386</v>
      </c>
      <c r="E22" s="16" t="n">
        <v>1.171113372738096</v>
      </c>
      <c r="F22" s="16" t="n">
        <v>1.174342692853152</v>
      </c>
      <c r="G22" s="29" t="n">
        <v>0.3721822637068057</v>
      </c>
      <c r="H22" s="29" t="n">
        <v>0.378779775215721</v>
      </c>
      <c r="I22" s="29" t="n">
        <v>0.8363933803712998</v>
      </c>
      <c r="J22" s="29" t="n">
        <v>0.4615602768128931</v>
      </c>
      <c r="K22" s="12" t="n">
        <v>1</v>
      </c>
      <c r="L22" s="10" t="inlineStr"/>
    </row>
    <row r="23">
      <c r="A23" s="10" t="inlineStr">
        <is>
          <t>RAD-DINO</t>
        </is>
      </c>
      <c r="B23" s="10" t="inlineStr">
        <is>
          <t>per-class miss&lt;=2%</t>
        </is>
      </c>
      <c r="C23" s="18" t="n">
        <v>0.9893718274111674</v>
      </c>
      <c r="D23" s="18" t="n">
        <v>0.9978121581497108</v>
      </c>
      <c r="E23" s="16" t="n">
        <v>1.164847509793933</v>
      </c>
      <c r="F23" s="16" t="n">
        <v>1.173287840532477</v>
      </c>
      <c r="G23" s="29" t="n">
        <v>0.3721822637068057</v>
      </c>
      <c r="H23" s="29" t="n">
        <v>0.378779775215721</v>
      </c>
      <c r="I23" s="29" t="n">
        <v>0.8364041596546758</v>
      </c>
      <c r="J23" s="29" t="n">
        <v>0.4615602768128931</v>
      </c>
      <c r="K23" s="12" t="n">
        <v>3</v>
      </c>
      <c r="L23" s="10" t="inlineStr"/>
    </row>
    <row r="24">
      <c r="A24" s="10" t="inlineStr">
        <is>
          <t>RAD-DINO</t>
        </is>
      </c>
      <c r="B24" s="10" t="inlineStr">
        <is>
          <t>per-class miss&lt;=5%</t>
        </is>
      </c>
      <c r="C24" s="18" t="n">
        <v>0.9673223350253806</v>
      </c>
      <c r="D24" s="18" t="n">
        <v>0.9912486325988435</v>
      </c>
      <c r="E24" s="16" t="n">
        <v>1.142798017408146</v>
      </c>
      <c r="F24" s="16" t="n">
        <v>1.166724314981609</v>
      </c>
      <c r="G24" s="29" t="n">
        <v>0.3721511264394763</v>
      </c>
      <c r="H24" s="29" t="n">
        <v>0.3787607901793115</v>
      </c>
      <c r="I24" s="29" t="n">
        <v>0.8363314379199221</v>
      </c>
      <c r="J24" s="29" t="n">
        <v>0.4615162666025242</v>
      </c>
      <c r="K24" s="12" t="n">
        <v>17</v>
      </c>
      <c r="L24" s="10" t="inlineStr"/>
    </row>
    <row r="25">
      <c r="A25" s="10" t="inlineStr">
        <is>
          <t>RAD-DINO</t>
        </is>
      </c>
      <c r="B25" s="10" t="inlineStr">
        <is>
          <t>per-class miss&lt;=10%</t>
        </is>
      </c>
      <c r="C25" s="18" t="n">
        <v>0.9124365482233504</v>
      </c>
      <c r="D25" s="18" t="n">
        <v>0.9793717768401312</v>
      </c>
      <c r="E25" s="16" t="n">
        <v>1.087912230606116</v>
      </c>
      <c r="F25" s="16" t="n">
        <v>1.154847459222897</v>
      </c>
      <c r="G25" s="29" t="n">
        <v>0.3723130384046206</v>
      </c>
      <c r="H25" s="29" t="n">
        <v>0.3787731436347772</v>
      </c>
      <c r="I25" s="29" t="n">
        <v>0.8361431109132365</v>
      </c>
      <c r="J25" s="29" t="n">
        <v>0.4614493260892103</v>
      </c>
      <c r="K25" s="12" t="n">
        <v>65</v>
      </c>
      <c r="L25" s="10" t="inlineStr"/>
    </row>
    <row r="26">
      <c r="A26" s="10" t="inlineStr">
        <is>
          <t>average</t>
        </is>
      </c>
      <c r="B26" s="10" t="inlineStr">
        <is>
          <t>flat t=0.70</t>
        </is>
      </c>
      <c r="C26" s="18" t="n">
        <v>0.2730805837563452</v>
      </c>
      <c r="D26" s="18" t="n">
        <v>0.5691514299109236</v>
      </c>
      <c r="E26" s="16" t="n">
        <v>0.4485562661391109</v>
      </c>
      <c r="F26" s="16" t="n">
        <v>0.7446271122936892</v>
      </c>
      <c r="G26" s="29" t="n">
        <v>0.3402867028115114</v>
      </c>
      <c r="H26" s="29" t="n">
        <v>0.3518621372448548</v>
      </c>
      <c r="I26" s="29" t="n">
        <v>0.8338574852475291</v>
      </c>
      <c r="J26" s="29" t="n">
        <v>0.3789913452103094</v>
      </c>
      <c r="K26" s="12" t="n">
        <v>7024</v>
      </c>
      <c r="L26" s="10" t="inlineStr"/>
    </row>
    <row r="27">
      <c r="A27" s="10" t="inlineStr">
        <is>
          <t>average</t>
        </is>
      </c>
      <c r="B27" s="10" t="inlineStr">
        <is>
          <t>flat t=0.80</t>
        </is>
      </c>
      <c r="C27" s="18" t="n">
        <v>0.4447969543147208</v>
      </c>
      <c r="D27" s="18" t="n">
        <v>0.7756680731364276</v>
      </c>
      <c r="E27" s="16" t="n">
        <v>0.6202726366974864</v>
      </c>
      <c r="F27" s="16" t="n">
        <v>0.9511437555191932</v>
      </c>
      <c r="G27" s="29" t="n">
        <v>0.3651550785950025</v>
      </c>
      <c r="H27" s="29" t="n">
        <v>0.3751935530341659</v>
      </c>
      <c r="I27" s="29" t="n">
        <v>0.8371948056400773</v>
      </c>
      <c r="J27" s="29" t="n">
        <v>0.4309271878473651</v>
      </c>
      <c r="K27" s="12" t="n">
        <v>2593</v>
      </c>
      <c r="L27" s="10" t="inlineStr"/>
    </row>
    <row r="28">
      <c r="A28" s="10" t="inlineStr">
        <is>
          <t>average</t>
        </is>
      </c>
      <c r="B28" s="10" t="inlineStr">
        <is>
          <t>flat t=0.90</t>
        </is>
      </c>
      <c r="C28" s="18" t="n">
        <v>0.731361040609137</v>
      </c>
      <c r="D28" s="18" t="n">
        <v>0.9327629317080792</v>
      </c>
      <c r="E28" s="16" t="n">
        <v>0.9068367229919028</v>
      </c>
      <c r="F28" s="16" t="n">
        <v>1.108238614090845</v>
      </c>
      <c r="G28" s="29" t="n">
        <v>0.3692467696082603</v>
      </c>
      <c r="H28" s="29" t="n">
        <v>0.3819590423253722</v>
      </c>
      <c r="I28" s="29" t="n">
        <v>0.8414212869112589</v>
      </c>
      <c r="J28" s="29" t="n">
        <v>0.4514635067209961</v>
      </c>
      <c r="K28" s="12" t="n">
        <v>466</v>
      </c>
      <c r="L28" s="10" t="inlineStr"/>
    </row>
    <row r="29">
      <c r="A29" s="10" t="inlineStr">
        <is>
          <t>average</t>
        </is>
      </c>
      <c r="B29" s="10" t="inlineStr">
        <is>
          <t>flat t=0.95</t>
        </is>
      </c>
      <c r="C29" s="18" t="n">
        <v>0.9069638324873096</v>
      </c>
      <c r="D29" s="18" t="n">
        <v>0.9827316768245038</v>
      </c>
      <c r="E29" s="16" t="n">
        <v>1.082439514870075</v>
      </c>
      <c r="F29" s="16" t="n">
        <v>1.15820735920727</v>
      </c>
      <c r="G29" s="29" t="n">
        <v>0.3724638514479571</v>
      </c>
      <c r="H29" s="29" t="n">
        <v>0.3832439558780516</v>
      </c>
      <c r="I29" s="29" t="n">
        <v>0.8424723711849341</v>
      </c>
      <c r="J29" s="29" t="n">
        <v>0.4693552287652939</v>
      </c>
      <c r="K29" s="12" t="n">
        <v>77</v>
      </c>
      <c r="L29" s="10" t="inlineStr"/>
    </row>
    <row r="30">
      <c r="A30" s="10" t="inlineStr">
        <is>
          <t>average</t>
        </is>
      </c>
      <c r="B30" s="10" t="inlineStr">
        <is>
          <t>flat t=0.98</t>
        </is>
      </c>
      <c r="C30" s="18" t="n">
        <v>0.9911167512690356</v>
      </c>
      <c r="D30" s="18" t="n">
        <v>0.9985935302391</v>
      </c>
      <c r="E30" s="16" t="n">
        <v>1.166592433651801</v>
      </c>
      <c r="F30" s="16" t="n">
        <v>1.174069212621866</v>
      </c>
      <c r="G30" s="29" t="n">
        <v>0.3727362758617883</v>
      </c>
      <c r="H30" s="29" t="n">
        <v>0.3817897727426317</v>
      </c>
      <c r="I30" s="29" t="n">
        <v>0.8427848561506999</v>
      </c>
      <c r="J30" s="29" t="n">
        <v>0.4561068848082885</v>
      </c>
      <c r="K30" s="12" t="n">
        <v>1</v>
      </c>
      <c r="L30" s="10" t="inlineStr"/>
    </row>
    <row r="31" ht="26" customHeight="1">
      <c r="A31" s="3" t="inlineStr">
        <is>
          <t>Reference, RAD-DINO alone: macro F1 val 0.3722, test 0.3788; macro AUROC test 0.8364. Compute &gt; 1.00 means the cascade costs MORE than running RAD-DINO on every image. Per-class gates (miss ≤ x%) are safe but send ~98–100% of images to RAD-DINO.</t>
        </is>
      </c>
    </row>
    <row r="33">
      <c r="A33" s="8" t="inlineStr">
        <is>
          <t>C. Why the gate did not transfer: validation vs test for the selected gate (t = 0.80)</t>
        </is>
      </c>
      <c r="B33" s="9" t="n"/>
      <c r="C33" s="9" t="n"/>
      <c r="D33" s="9" t="n"/>
      <c r="E33" s="9" t="n"/>
      <c r="F33" s="9" t="n"/>
      <c r="G33" s="9" t="n"/>
      <c r="H33" s="9" t="n"/>
      <c r="I33" s="9" t="n"/>
      <c r="J33" s="9" t="n"/>
      <c r="K33" s="9" t="n"/>
      <c r="L33" s="9" t="n"/>
    </row>
    <row r="34" ht="30" customHeight="1">
      <c r="A34" s="5" t="inlineStr"/>
      <c r="B34" s="5" t="inlineStr">
        <is>
          <t>Validation</t>
        </is>
      </c>
      <c r="C34" s="5" t="inlineStr">
        <is>
          <t>Test</t>
        </is>
      </c>
      <c r="D34" s="5" t="inlineStr">
        <is>
          <t>Test ÷ validation</t>
        </is>
      </c>
      <c r="E34" s="5" t="inlineStr">
        <is>
          <t>Comment</t>
        </is>
      </c>
      <c r="F34" s="15" t="n"/>
      <c r="G34" s="15" t="n"/>
      <c r="H34" s="15" t="n"/>
      <c r="I34" s="15" t="n"/>
      <c r="J34" s="15" t="n"/>
      <c r="K34" s="15" t="n"/>
      <c r="L34" s="13" t="n"/>
    </row>
    <row r="35">
      <c r="A35" s="6" t="inlineStr">
        <is>
          <t>Share sent to RAD-DINO</t>
        </is>
      </c>
      <c r="B35" s="18" t="n">
        <v>0.4447969543147208</v>
      </c>
      <c r="C35" s="18" t="n">
        <v>0.7756680731364276</v>
      </c>
      <c r="D35" s="17">
        <f>C35/B35</f>
        <v/>
      </c>
      <c r="E35" s="7" t="inlineStr">
        <is>
          <t>The CNN is unsure about far more test images.</t>
        </is>
      </c>
      <c r="F35" s="15" t="n"/>
      <c r="G35" s="15" t="n"/>
      <c r="H35" s="15" t="n"/>
      <c r="I35" s="15" t="n"/>
      <c r="J35" s="15" t="n"/>
      <c r="K35" s="15" t="n"/>
      <c r="L35" s="13" t="n"/>
    </row>
    <row r="36">
      <c r="A36" s="6" t="inlineStr">
        <is>
          <t>Compute vs RAD-DINO (batch 32)</t>
        </is>
      </c>
      <c r="B36" s="16" t="n">
        <v>0.6202726366974864</v>
      </c>
      <c r="C36" s="16" t="n">
        <v>0.9511437555191932</v>
      </c>
      <c r="D36" s="17">
        <f>C36/B36</f>
        <v/>
      </c>
      <c r="E36" s="7" t="inlineStr">
        <is>
          <t>38% saving on validation shrinks to 5% on test.</t>
        </is>
      </c>
      <c r="F36" s="15" t="n"/>
      <c r="G36" s="15" t="n"/>
      <c r="H36" s="15" t="n"/>
      <c r="I36" s="15" t="n"/>
      <c r="J36" s="15" t="n"/>
      <c r="K36" s="15" t="n"/>
      <c r="L36" s="13" t="n"/>
    </row>
    <row r="37">
      <c r="A37" s="6" t="inlineStr">
        <is>
          <t>Positive labels missed by the CNN</t>
        </is>
      </c>
      <c r="B37" s="12" t="n">
        <v>1977</v>
      </c>
      <c r="C37" s="12" t="n">
        <v>2593</v>
      </c>
      <c r="D37" s="17">
        <f>C37/B37</f>
        <v/>
      </c>
      <c r="E37" s="7" t="inlineStr">
        <is>
          <t>Positives on CNN-decided images that the CNN called No.</t>
        </is>
      </c>
      <c r="F37" s="15" t="n"/>
      <c r="G37" s="15" t="n"/>
      <c r="H37" s="15" t="n"/>
      <c r="I37" s="15" t="n"/>
      <c r="J37" s="15" t="n"/>
      <c r="K37" s="15" t="n"/>
      <c r="L37" s="13" t="n"/>
    </row>
    <row r="38">
      <c r="A38" s="6" t="inlineStr">
        <is>
          <t>Findings per image</t>
        </is>
      </c>
      <c r="B38" s="16" t="n">
        <v>0.6132614</v>
      </c>
      <c r="C38" s="16" t="n">
        <v>1.0629004</v>
      </c>
      <c r="D38" s="17">
        <f>C38/B38</f>
        <v/>
      </c>
      <c r="E38" s="7" t="inlineStr">
        <is>
          <t>Sicker test patients (sheet 1, C).</t>
        </is>
      </c>
      <c r="F38" s="15" t="n"/>
      <c r="G38" s="15" t="n"/>
      <c r="H38" s="15" t="n"/>
      <c r="I38" s="15" t="n"/>
      <c r="J38" s="15" t="n"/>
      <c r="K38" s="15" t="n"/>
      <c r="L38" s="13" t="n"/>
    </row>
    <row r="39">
      <c r="A39" s="6" t="inlineStr">
        <is>
          <t>Images per patient</t>
        </is>
      </c>
      <c r="B39" s="16" t="n">
        <v>3.000475963826749</v>
      </c>
      <c r="C39" s="16" t="n">
        <v>9.151233464426172</v>
      </c>
      <c r="D39" s="17">
        <f>C39/B39</f>
        <v/>
      </c>
      <c r="E39" s="7" t="inlineStr">
        <is>
          <t>Many follow-up films in test.</t>
        </is>
      </c>
      <c r="F39" s="15" t="n"/>
      <c r="G39" s="15" t="n"/>
      <c r="H39" s="15" t="n"/>
      <c r="I39" s="15" t="n"/>
      <c r="J39" s="15" t="n"/>
      <c r="K39" s="15" t="n"/>
      <c r="L39" s="13" t="n"/>
    </row>
    <row r="40" ht="39" customHeight="1">
      <c r="A40" s="3" t="inlineStr">
        <is>
          <t>About 60% of the jump in routing is explained by the measurable case mix (more findings per image, more images per patient). The rest: even test images labelled 'no finding' are routed more often, likely because of more bedside (AP) films, tubes and lines, and noisy labels.</t>
        </is>
      </c>
    </row>
    <row r="42">
      <c r="A42" s="8" t="inlineStr">
        <is>
          <t>D. Compute: what the cascade actually costs (edit the blue inputs; the rest recalculates)</t>
        </is>
      </c>
      <c r="B42" s="9" t="n"/>
      <c r="C42" s="9" t="n"/>
      <c r="D42" s="9" t="n"/>
      <c r="E42" s="9" t="n"/>
      <c r="F42" s="9" t="n"/>
      <c r="G42" s="9" t="n"/>
      <c r="H42" s="9" t="n"/>
      <c r="I42" s="9" t="n"/>
      <c r="J42" s="9" t="n"/>
      <c r="K42" s="9" t="n"/>
      <c r="L42" s="9" t="n"/>
    </row>
    <row r="43" ht="30" customHeight="1">
      <c r="A43" s="5" t="inlineStr">
        <is>
          <t>Model</t>
        </is>
      </c>
      <c r="B43" s="5" t="inlineStr">
        <is>
          <t>ms/image, batch 1</t>
        </is>
      </c>
      <c r="C43" s="5" t="inlineStr">
        <is>
          <t>ms/image, batch 32</t>
        </is>
      </c>
      <c r="D43" s="5" t="inlineStr">
        <is>
          <t>Source</t>
        </is>
      </c>
      <c r="E43" s="15" t="n"/>
      <c r="F43" s="15" t="n"/>
      <c r="G43" s="15" t="n"/>
      <c r="H43" s="15" t="n"/>
      <c r="I43" s="15" t="n"/>
      <c r="J43" s="15" t="n"/>
      <c r="K43" s="15" t="n"/>
      <c r="L43" s="13" t="n"/>
    </row>
    <row r="44">
      <c r="A44" s="10" t="inlineStr">
        <is>
          <t>ConvNeXt-Tiny (stage 1)</t>
        </is>
      </c>
      <c r="B44" s="44" t="n">
        <v>11.37152004241943</v>
      </c>
      <c r="C44" s="44" t="n">
        <v>4.009511470794678</v>
      </c>
      <c r="D44" s="10" t="inlineStr">
        <is>
          <t>Measured: forward pass, fp16, Tesla T4, median of 3 repeats (Kaggle session T, 2026-09-24)</t>
        </is>
      </c>
      <c r="E44" s="15" t="n"/>
      <c r="F44" s="15" t="n"/>
      <c r="G44" s="15" t="n"/>
      <c r="H44" s="15" t="n"/>
      <c r="I44" s="15" t="n"/>
      <c r="J44" s="15" t="n"/>
      <c r="K44" s="15" t="n"/>
      <c r="L44" s="13" t="n"/>
    </row>
    <row r="45">
      <c r="A45" s="10" t="inlineStr">
        <is>
          <t>RAD-DINO (stage 2)</t>
        </is>
      </c>
      <c r="B45" s="44" t="n">
        <v>22.17071914672852</v>
      </c>
      <c r="C45" s="44" t="n">
        <v>22.84938526153564</v>
      </c>
      <c r="D45" s="10" t="inlineStr">
        <is>
          <t>Measured: forward pass, fp16, Tesla T4, median of 3 repeats (Kaggle session T, 2026-09-24)</t>
        </is>
      </c>
      <c r="E45" s="15" t="n"/>
      <c r="F45" s="15" t="n"/>
      <c r="G45" s="15" t="n"/>
      <c r="H45" s="15" t="n"/>
      <c r="I45" s="15" t="n"/>
      <c r="J45" s="15" t="n"/>
      <c r="K45" s="15" t="n"/>
      <c r="L45" s="13" t="n"/>
    </row>
    <row r="47" ht="45" customHeight="1">
      <c r="A47" s="5" t="inlineStr">
        <is>
          <t>System</t>
        </is>
      </c>
      <c r="B47" s="5" t="inlineStr">
        <is>
          <t>Share to RAD-DINO</t>
        </is>
      </c>
      <c r="C47" s="5" t="inlineStr">
        <is>
          <t>ms/image, batch 32</t>
        </is>
      </c>
      <c r="D47" s="5" t="inlineStr">
        <is>
          <t>Compute vs RAD-DINO, batch 32</t>
        </is>
      </c>
      <c r="E47" s="5" t="inlineStr">
        <is>
          <t>ms/image, batch 1</t>
        </is>
      </c>
      <c r="F47" s="5" t="inlineStr">
        <is>
          <t>Compute vs RAD-DINO, batch 1</t>
        </is>
      </c>
    </row>
    <row r="48">
      <c r="A48" s="10" t="inlineStr">
        <is>
          <t>CNN alone</t>
        </is>
      </c>
      <c r="B48" s="45" t="n">
        <v>0</v>
      </c>
      <c r="C48" s="16">
        <f>$C$44+B48*$C$45</f>
        <v/>
      </c>
      <c r="D48" s="16">
        <f>C48/$C$45</f>
        <v/>
      </c>
      <c r="E48" s="16">
        <f>$B$44+B48*$B$45</f>
        <v/>
      </c>
      <c r="F48" s="16">
        <f>E48/$B$45</f>
        <v/>
      </c>
    </row>
    <row r="49">
      <c r="A49" s="10" t="inlineStr">
        <is>
          <t>RAD-DINO alone</t>
        </is>
      </c>
      <c r="B49" s="45" t="n">
        <v>1</v>
      </c>
      <c r="C49" s="16">
        <f>$C$45</f>
        <v/>
      </c>
      <c r="D49" s="16">
        <f>C49/$C$45</f>
        <v/>
      </c>
      <c r="E49" s="16">
        <f>$B$45</f>
        <v/>
      </c>
      <c r="F49" s="16">
        <f>E49/$B$45</f>
        <v/>
      </c>
    </row>
    <row r="50">
      <c r="A50" s="10" t="inlineStr">
        <is>
          <t>Average of both</t>
        </is>
      </c>
      <c r="B50" s="45" t="n">
        <v>1</v>
      </c>
      <c r="C50" s="16">
        <f>$C$44+$C$45</f>
        <v/>
      </c>
      <c r="D50" s="16">
        <f>C50/$C$45</f>
        <v/>
      </c>
      <c r="E50" s="16">
        <f>$B$44+$B$45</f>
        <v/>
      </c>
      <c r="F50" s="16">
        <f>E50/$B$45</f>
        <v/>
      </c>
    </row>
    <row r="51">
      <c r="A51" s="10" t="inlineStr">
        <is>
          <t>Cascade t=0.80 on validation</t>
        </is>
      </c>
      <c r="B51" s="45" t="n">
        <v>0.4447969543147208</v>
      </c>
      <c r="C51" s="16">
        <f>$C$44+B51*$C$45</f>
        <v/>
      </c>
      <c r="D51" s="16">
        <f>C51/$C$45</f>
        <v/>
      </c>
      <c r="E51" s="16">
        <f>$B$44+B51*$B$45</f>
        <v/>
      </c>
      <c r="F51" s="16">
        <f>E51/$B$45</f>
        <v/>
      </c>
    </row>
    <row r="52">
      <c r="A52" s="31" t="inlineStr">
        <is>
          <t>Cascade t=0.80 on test</t>
        </is>
      </c>
      <c r="B52" s="46" t="n">
        <v>0.7756680731364276</v>
      </c>
      <c r="C52" s="42">
        <f>$C$44+B52*$C$45</f>
        <v/>
      </c>
      <c r="D52" s="42">
        <f>C52/$C$45</f>
        <v/>
      </c>
      <c r="E52" s="42">
        <f>$B$44+B52*$B$45</f>
        <v/>
      </c>
      <c r="F52" s="42">
        <f>E52/$B$45</f>
        <v/>
      </c>
    </row>
    <row r="53">
      <c r="A53" s="6" t="inlineStr">
        <is>
          <t>Break-even share (cascade = RAD-DINO cost)</t>
        </is>
      </c>
      <c r="B53" s="6" t="inlineStr"/>
      <c r="C53" s="47">
        <f>1-$C$44/$C$45</f>
        <v/>
      </c>
      <c r="D53" s="6" t="inlineStr"/>
      <c r="E53" s="47">
        <f>1-$B$44/$B$45</f>
        <v/>
      </c>
      <c r="F53" s="6" t="inlineStr"/>
    </row>
    <row r="54" ht="52" customHeight="1">
      <c r="A54" s="3" t="inlineStr">
        <is>
          <t>Cascade cost = CNN time + share × RAD-DINO time (the two models run one after the other). Break-even columns are the share at which the cascade costs as much as RAD-DINO alone. On test the cascade sends 77.6% of images, just under the 82% break-even at batch 32 (~5% saving) and far above the 49% break-even at batch 1 (29% slower). RAD-DINO gets no per-image speed-up from batching at 518 px, while the CNN does.</t>
        </is>
      </c>
    </row>
    <row r="56">
      <c r="A56" s="8" t="inlineStr">
        <is>
          <t>E. Per-image vs per-finding routing (flat gates, stage 2 = RAD-DINO)</t>
        </is>
      </c>
      <c r="B56" s="9" t="n"/>
      <c r="C56" s="9" t="n"/>
      <c r="D56" s="9" t="n"/>
      <c r="E56" s="9" t="n"/>
      <c r="F56" s="9" t="n"/>
      <c r="G56" s="9" t="n"/>
      <c r="H56" s="9" t="n"/>
      <c r="I56" s="9" t="n"/>
      <c r="J56" s="9" t="n"/>
      <c r="K56" s="9" t="n"/>
      <c r="L56" s="9" t="n"/>
    </row>
    <row r="57" ht="45" customHeight="1">
      <c r="A57" s="5" t="inlineStr">
        <is>
          <t>Gate</t>
        </is>
      </c>
      <c r="B57" s="5" t="inlineStr">
        <is>
          <t>Share to RAD-DINO (test)</t>
        </is>
      </c>
      <c r="C57" s="5" t="inlineStr">
        <is>
          <t>Macro F1 (test), per-image</t>
        </is>
      </c>
      <c r="D57" s="5" t="inlineStr">
        <is>
          <t>Macro F1 (test), per-finding</t>
        </is>
      </c>
      <c r="E57" s="5" t="inlineStr">
        <is>
          <t>Labels missed, per-image</t>
        </is>
      </c>
      <c r="F57" s="5" t="inlineStr">
        <is>
          <t>Labels missed, per-finding</t>
        </is>
      </c>
    </row>
    <row r="58">
      <c r="A58" s="10" t="inlineStr">
        <is>
          <t>t=0.70</t>
        </is>
      </c>
      <c r="B58" s="18" t="n">
        <v>0.5691514299109236</v>
      </c>
      <c r="C58" s="30" t="n">
        <v>0.3471589264232699</v>
      </c>
      <c r="D58" s="29" t="n">
        <v>0.2787112796310799</v>
      </c>
      <c r="E58" s="12" t="n">
        <v>7024</v>
      </c>
      <c r="F58" s="12" t="n">
        <v>17305</v>
      </c>
    </row>
    <row r="59">
      <c r="A59" s="10" t="inlineStr">
        <is>
          <t>t=0.80</t>
        </is>
      </c>
      <c r="B59" s="18" t="n">
        <v>0.7756680731364276</v>
      </c>
      <c r="C59" s="30" t="n">
        <v>0.3708823660981882</v>
      </c>
      <c r="D59" s="29" t="n">
        <v>0.3331620284924019</v>
      </c>
      <c r="E59" s="12" t="n">
        <v>2593</v>
      </c>
      <c r="F59" s="12" t="n">
        <v>13249</v>
      </c>
    </row>
    <row r="60">
      <c r="A60" s="10" t="inlineStr">
        <is>
          <t>t=0.90</t>
        </is>
      </c>
      <c r="B60" s="18" t="n">
        <v>0.9327629317080792</v>
      </c>
      <c r="C60" s="30" t="n">
        <v>0.3793972240970218</v>
      </c>
      <c r="D60" s="29" t="n">
        <v>0.3613907462469926</v>
      </c>
      <c r="E60" s="12" t="n">
        <v>466</v>
      </c>
      <c r="F60" s="12" t="n">
        <v>7745</v>
      </c>
    </row>
    <row r="61">
      <c r="A61" s="10" t="inlineStr">
        <is>
          <t>t=0.95</t>
        </is>
      </c>
      <c r="B61" s="18" t="n">
        <v>0.9827316768245038</v>
      </c>
      <c r="C61" s="30" t="n">
        <v>0.3794500413354681</v>
      </c>
      <c r="D61" s="29" t="n">
        <v>0.3703557802047178</v>
      </c>
      <c r="E61" s="12" t="n">
        <v>77</v>
      </c>
      <c r="F61" s="12" t="n">
        <v>4194</v>
      </c>
    </row>
    <row r="62">
      <c r="A62" s="10" t="inlineStr">
        <is>
          <t>t=0.98</t>
        </is>
      </c>
      <c r="B62" s="18" t="n">
        <v>0.9985935302391</v>
      </c>
      <c r="C62" s="30" t="n">
        <v>0.3787996840260584</v>
      </c>
      <c r="D62" s="29" t="n">
        <v>0.3767885469483741</v>
      </c>
      <c r="E62" s="12" t="n">
        <v>1</v>
      </c>
      <c r="F62" s="12" t="n">
        <v>1512</v>
      </c>
    </row>
    <row r="63" ht="26" customHeight="1">
      <c r="A63" s="3" t="inlineStr">
        <is>
          <t>Per-image routing wins at every gate. Both modes run RAD-DINO on the same images, so they cost the same; per-finding just throws away RAD-DINO's answers for the findings the CNN was 'confident' about.</t>
        </is>
      </c>
    </row>
    <row r="65">
      <c r="A65" s="8" t="inlineStr">
        <is>
          <t>F. Which diseases does the CNN decide alone? (selected gate, test)</t>
        </is>
      </c>
      <c r="B65" s="9" t="n"/>
      <c r="C65" s="9" t="n"/>
      <c r="D65" s="9" t="n"/>
      <c r="E65" s="9" t="n"/>
      <c r="F65" s="9" t="n"/>
      <c r="G65" s="9" t="n"/>
      <c r="H65" s="9" t="n"/>
      <c r="I65" s="9" t="n"/>
      <c r="J65" s="9" t="n"/>
      <c r="K65" s="9" t="n"/>
      <c r="L65" s="9" t="n"/>
    </row>
    <row r="66" ht="45" customHeight="1">
      <c r="A66" s="5" t="inlineStr">
        <is>
          <t>Disease</t>
        </is>
      </c>
      <c r="B66" s="5" t="inlineStr">
        <is>
          <t>Test cases</t>
        </is>
      </c>
      <c r="C66" s="5" t="inlineStr">
        <is>
          <t>Images decided by CNN</t>
        </is>
      </c>
      <c r="D66" s="5" t="inlineStr">
        <is>
          <t>Positives missed by CNN</t>
        </is>
      </c>
      <c r="E66" s="5" t="inlineStr">
        <is>
          <t>Share of positives missed</t>
        </is>
      </c>
      <c r="F66" s="5" t="inlineStr">
        <is>
          <t>Recall: cascade</t>
        </is>
      </c>
      <c r="G66" s="5" t="inlineStr">
        <is>
          <t>Recall: RAD-DINO alone</t>
        </is>
      </c>
    </row>
    <row r="67">
      <c r="A67" s="10" t="inlineStr">
        <is>
          <t>Infiltration</t>
        </is>
      </c>
      <c r="B67" s="12" t="n">
        <v>6112</v>
      </c>
      <c r="C67" s="18" t="n">
        <v>0.2243319268635724</v>
      </c>
      <c r="D67" s="12" t="n">
        <v>658</v>
      </c>
      <c r="E67" s="18">
        <f>D67/B67</f>
        <v/>
      </c>
      <c r="F67" s="26" t="n">
        <v>0.7675065445026177</v>
      </c>
      <c r="G67" s="26" t="n">
        <v>0.7861583769633507</v>
      </c>
    </row>
    <row r="68">
      <c r="A68" s="10" t="inlineStr">
        <is>
          <t>Atelectasis</t>
        </is>
      </c>
      <c r="B68" s="12" t="n">
        <v>3279</v>
      </c>
      <c r="C68" s="18" t="n">
        <v>0.2243319268635724</v>
      </c>
      <c r="D68" s="12" t="n">
        <v>314</v>
      </c>
      <c r="E68" s="18">
        <f>D68/B68</f>
        <v/>
      </c>
      <c r="F68" s="26" t="n">
        <v>0.6014028667276607</v>
      </c>
      <c r="G68" s="26" t="n">
        <v>0.5767002134797194</v>
      </c>
    </row>
    <row r="69">
      <c r="A69" s="10" t="inlineStr">
        <is>
          <t>Nodule</t>
        </is>
      </c>
      <c r="B69" s="12" t="n">
        <v>1623</v>
      </c>
      <c r="C69" s="18" t="n">
        <v>0.2243319268635724</v>
      </c>
      <c r="D69" s="12" t="n">
        <v>250</v>
      </c>
      <c r="E69" s="18">
        <f>D69/B69</f>
        <v/>
      </c>
      <c r="F69" s="26" t="n">
        <v>0.2815773259396179</v>
      </c>
      <c r="G69" s="26" t="n">
        <v>0.3185459026494146</v>
      </c>
    </row>
    <row r="70">
      <c r="A70" s="10" t="inlineStr">
        <is>
          <t>Effusion</t>
        </is>
      </c>
      <c r="B70" s="12" t="n">
        <v>4658</v>
      </c>
      <c r="C70" s="18" t="n">
        <v>0.2243319268635724</v>
      </c>
      <c r="D70" s="12" t="n">
        <v>242</v>
      </c>
      <c r="E70" s="18">
        <f>D70/B70</f>
        <v/>
      </c>
      <c r="F70" s="26" t="n">
        <v>0.652640618291112</v>
      </c>
      <c r="G70" s="26" t="n">
        <v>0.6590811507084585</v>
      </c>
    </row>
    <row r="71">
      <c r="A71" s="10" t="inlineStr">
        <is>
          <t>Pneumothorax</t>
        </is>
      </c>
      <c r="B71" s="12" t="n">
        <v>2665</v>
      </c>
      <c r="C71" s="18" t="n">
        <v>0.2243319268635724</v>
      </c>
      <c r="D71" s="12" t="n">
        <v>196</v>
      </c>
      <c r="E71" s="18">
        <f>D71/B71</f>
        <v/>
      </c>
      <c r="F71" s="26" t="n">
        <v>0.5868667917448405</v>
      </c>
      <c r="G71" s="26" t="n">
        <v>0.6165103189493433</v>
      </c>
    </row>
    <row r="72">
      <c r="A72" s="10" t="inlineStr">
        <is>
          <t>Mass</t>
        </is>
      </c>
      <c r="B72" s="12" t="n">
        <v>1748</v>
      </c>
      <c r="C72" s="18" t="n">
        <v>0.2243319268635724</v>
      </c>
      <c r="D72" s="12" t="n">
        <v>161</v>
      </c>
      <c r="E72" s="18">
        <f>D72/B72</f>
        <v/>
      </c>
      <c r="F72" s="26" t="n">
        <v>0.4805491990846682</v>
      </c>
      <c r="G72" s="26" t="n">
        <v>0.4828375286041189</v>
      </c>
    </row>
    <row r="73">
      <c r="A73" s="10" t="inlineStr">
        <is>
          <t>Cardiomegaly</t>
        </is>
      </c>
      <c r="B73" s="12" t="n">
        <v>1069</v>
      </c>
      <c r="C73" s="18" t="n">
        <v>0.2243319268635724</v>
      </c>
      <c r="D73" s="12" t="n">
        <v>157</v>
      </c>
      <c r="E73" s="18">
        <f>D73/B73</f>
        <v/>
      </c>
      <c r="F73" s="26" t="n">
        <v>0.4275023386342375</v>
      </c>
      <c r="G73" s="26" t="n">
        <v>0.4667913938260056</v>
      </c>
    </row>
    <row r="74">
      <c r="A74" s="10" t="inlineStr">
        <is>
          <t>Pleural Thickening</t>
        </is>
      </c>
      <c r="B74" s="12" t="n">
        <v>1143</v>
      </c>
      <c r="C74" s="18" t="n">
        <v>0.2243319268635724</v>
      </c>
      <c r="D74" s="12" t="n">
        <v>150</v>
      </c>
      <c r="E74" s="18">
        <f>D74/B74</f>
        <v/>
      </c>
      <c r="F74" s="26" t="n">
        <v>0.4391951006124234</v>
      </c>
      <c r="G74" s="26" t="n">
        <v>0.4286964129483814</v>
      </c>
    </row>
    <row r="75">
      <c r="A75" s="10" t="inlineStr">
        <is>
          <t>Consolidation</t>
        </is>
      </c>
      <c r="B75" s="12" t="n">
        <v>1815</v>
      </c>
      <c r="C75" s="18" t="n">
        <v>0.2243319268635724</v>
      </c>
      <c r="D75" s="12" t="n">
        <v>116</v>
      </c>
      <c r="E75" s="18">
        <f>D75/B75</f>
        <v/>
      </c>
      <c r="F75" s="26" t="n">
        <v>0.4484848484848484</v>
      </c>
      <c r="G75" s="26" t="n">
        <v>0.4550964187327823</v>
      </c>
    </row>
    <row r="76">
      <c r="A76" s="10" t="inlineStr">
        <is>
          <t>Fibrosis</t>
        </is>
      </c>
      <c r="B76" s="12" t="n">
        <v>435</v>
      </c>
      <c r="C76" s="18" t="n">
        <v>0.2243319268635724</v>
      </c>
      <c r="D76" s="12" t="n">
        <v>113</v>
      </c>
      <c r="E76" s="18">
        <f>D76/B76</f>
        <v/>
      </c>
      <c r="F76" s="26" t="n">
        <v>0.2183908045977011</v>
      </c>
      <c r="G76" s="26" t="n">
        <v>0.2390804597701149</v>
      </c>
    </row>
    <row r="77">
      <c r="A77" s="10" t="inlineStr">
        <is>
          <t>Emphysema</t>
        </is>
      </c>
      <c r="B77" s="12" t="n">
        <v>1093</v>
      </c>
      <c r="C77" s="18" t="n">
        <v>0.2243319268635724</v>
      </c>
      <c r="D77" s="12" t="n">
        <v>107</v>
      </c>
      <c r="E77" s="18">
        <f>D77/B77</f>
        <v/>
      </c>
      <c r="F77" s="26" t="n">
        <v>0.5901189387008234</v>
      </c>
      <c r="G77" s="26" t="n">
        <v>0.6258005489478499</v>
      </c>
    </row>
    <row r="78">
      <c r="A78" s="10" t="inlineStr">
        <is>
          <t>Pneumonia</t>
        </is>
      </c>
      <c r="B78" s="12" t="n">
        <v>555</v>
      </c>
      <c r="C78" s="18" t="n">
        <v>0.2243319268635724</v>
      </c>
      <c r="D78" s="12" t="n">
        <v>51</v>
      </c>
      <c r="E78" s="18">
        <f>D78/B78</f>
        <v/>
      </c>
      <c r="F78" s="26" t="n">
        <v>0.08648648648648639</v>
      </c>
      <c r="G78" s="26" t="n">
        <v>0.09009009009009</v>
      </c>
    </row>
    <row r="79">
      <c r="A79" s="10" t="inlineStr">
        <is>
          <t>Edema</t>
        </is>
      </c>
      <c r="B79" s="12" t="n">
        <v>925</v>
      </c>
      <c r="C79" s="18" t="n">
        <v>0.2243319268635724</v>
      </c>
      <c r="D79" s="12" t="n">
        <v>51</v>
      </c>
      <c r="E79" s="18">
        <f>D79/B79</f>
        <v/>
      </c>
      <c r="F79" s="26" t="n">
        <v>0.2713513513513513</v>
      </c>
      <c r="G79" s="26" t="n">
        <v>0.2745945945945946</v>
      </c>
    </row>
    <row r="80">
      <c r="A80" s="10" t="inlineStr">
        <is>
          <t>Hernia</t>
        </is>
      </c>
      <c r="B80" s="12" t="n">
        <v>86</v>
      </c>
      <c r="C80" s="18" t="n">
        <v>0.2243319268635724</v>
      </c>
      <c r="D80" s="12" t="n">
        <v>27</v>
      </c>
      <c r="E80" s="18">
        <f>D80/B80</f>
        <v/>
      </c>
      <c r="F80" s="26" t="n">
        <v>0.3837209302325581</v>
      </c>
      <c r="G80" s="26" t="n">
        <v>0.441860465116279</v>
      </c>
    </row>
    <row r="81">
      <c r="A81" s="6" t="inlineStr">
        <is>
          <t>Total</t>
        </is>
      </c>
      <c r="B81" s="36">
        <f>SUM(B67:B80)</f>
        <v/>
      </c>
      <c r="C81" s="47" t="n">
        <v>0.2243319268635724</v>
      </c>
      <c r="D81" s="36">
        <f>SUM(D67:D80)</f>
        <v/>
      </c>
      <c r="E81" s="47">
        <f>D81/B81</f>
        <v/>
      </c>
      <c r="F81" s="37" t="n">
        <v>0.4454138675279247</v>
      </c>
      <c r="G81" s="37" t="n">
        <v>0.4615602768128931</v>
      </c>
    </row>
    <row r="82" ht="39" customHeight="1">
      <c r="A82" s="3" t="inlineStr">
        <is>
          <t>The gate calls a finding 'confident No' at p ≤ 0.20, but every class's F1 threshold is 0.06–0.33 (mostly 0.10–0.20). So on CNN-decided images the cascade finds only ~4% of the true positives, versus ~28% for RAD-DINO on the same images. Total row recall = macro recall.</t>
        </is>
      </c>
    </row>
    <row r="84">
      <c r="A84" s="8" t="inlineStr">
        <is>
          <t>G. Findings, limitations and next steps</t>
        </is>
      </c>
      <c r="B84" s="9" t="n"/>
      <c r="C84" s="9" t="n"/>
      <c r="D84" s="9" t="n"/>
      <c r="E84" s="9" t="n"/>
      <c r="F84" s="9" t="n"/>
      <c r="G84" s="9" t="n"/>
      <c r="H84" s="9" t="n"/>
      <c r="I84" s="9" t="n"/>
      <c r="J84" s="9" t="n"/>
      <c r="K84" s="9" t="n"/>
      <c r="L84" s="9" t="n"/>
    </row>
    <row r="85" ht="30" customHeight="1">
      <c r="A85" s="5" t="inlineStr">
        <is>
          <t>Type</t>
        </is>
      </c>
      <c r="B85" s="5" t="inlineStr">
        <is>
          <t>Statement</t>
        </is>
      </c>
      <c r="C85" s="15" t="n"/>
      <c r="D85" s="15" t="n"/>
      <c r="E85" s="15" t="n"/>
      <c r="F85" s="15" t="n"/>
      <c r="G85" s="15" t="n"/>
      <c r="H85" s="15" t="n"/>
      <c r="I85" s="15" t="n"/>
      <c r="J85" s="15" t="n"/>
      <c r="K85" s="15" t="n"/>
      <c r="L85" s="13" t="n"/>
    </row>
    <row r="86" ht="28" customHeight="1">
      <c r="A86" s="6" t="inlineStr">
        <is>
          <t>Finding</t>
        </is>
      </c>
      <c r="B86" s="7" t="inlineStr">
        <is>
          <t>On the official test set the cascade does not beat RAD-DINO alone: macro AUROC 0.8325 vs 0.8364 and macro F1 0.3709 vs 0.3788 (both significant).</t>
        </is>
      </c>
      <c r="C86" s="15" t="n"/>
      <c r="D86" s="15" t="n"/>
      <c r="E86" s="15" t="n"/>
      <c r="F86" s="15" t="n"/>
      <c r="G86" s="15" t="n"/>
      <c r="H86" s="15" t="n"/>
      <c r="I86" s="15" t="n"/>
      <c r="J86" s="15" t="n"/>
      <c r="K86" s="15" t="n"/>
      <c r="L86" s="13" t="n"/>
    </row>
    <row r="87" ht="28" customHeight="1">
      <c r="A87" s="6" t="inlineStr">
        <is>
          <t>Finding</t>
        </is>
      </c>
      <c r="B87" s="7" t="inlineStr">
        <is>
          <t>Most of that gap is allowed by design: the selection rule accepts up to 0.01 lower validation F1 (it was 0.006 lower on validation).</t>
        </is>
      </c>
      <c r="C87" s="15" t="n"/>
      <c r="D87" s="15" t="n"/>
      <c r="E87" s="15" t="n"/>
      <c r="F87" s="15" t="n"/>
      <c r="G87" s="15" t="n"/>
      <c r="H87" s="15" t="n"/>
      <c r="I87" s="15" t="n"/>
      <c r="J87" s="15" t="n"/>
      <c r="K87" s="15" t="n"/>
      <c r="L87" s="13" t="n"/>
    </row>
    <row r="88" ht="28" customHeight="1">
      <c r="A88" s="6" t="inlineStr">
        <is>
          <t>Finding</t>
        </is>
      </c>
      <c r="B88" s="7" t="inlineStr">
        <is>
          <t>The compute saving disappears: the gate sends 44.5% of validation images but 77.6% of test images to RAD-DINO (compute 0.62 → 0.95 at batch 32).</t>
        </is>
      </c>
      <c r="C88" s="15" t="n"/>
      <c r="D88" s="15" t="n"/>
      <c r="E88" s="15" t="n"/>
      <c r="F88" s="15" t="n"/>
      <c r="G88" s="15" t="n"/>
      <c r="H88" s="15" t="n"/>
      <c r="I88" s="15" t="n"/>
      <c r="J88" s="15" t="n"/>
      <c r="K88" s="15" t="n"/>
      <c r="L88" s="13" t="n"/>
    </row>
    <row r="89" ht="28" customHeight="1">
      <c r="A89" s="6" t="inlineStr">
        <is>
          <t>Finding</t>
        </is>
      </c>
      <c r="B89" s="7" t="inlineStr">
        <is>
          <t>Cause: the official test set is a sicker population (1.7x findings per image, 3x images per patient, fewer PA views), so the CNN is unsure about most test images.</t>
        </is>
      </c>
      <c r="C89" s="15" t="n"/>
      <c r="D89" s="15" t="n"/>
      <c r="E89" s="15" t="n"/>
      <c r="F89" s="15" t="n"/>
      <c r="G89" s="15" t="n"/>
      <c r="H89" s="15" t="n"/>
      <c r="I89" s="15" t="n"/>
      <c r="J89" s="15" t="n"/>
      <c r="K89" s="15" t="n"/>
      <c r="L89" s="13" t="n"/>
    </row>
    <row r="90" ht="28" customHeight="1">
      <c r="A90" s="6" t="inlineStr">
        <is>
          <t>Finding</t>
        </is>
      </c>
      <c r="B90" s="7" t="inlineStr">
        <is>
          <t>Forcing the validation routing share (44.5%) onto test would cut macro F1 to 0.311, below the CNN alone. The gate routing more on test was correct behaviour.</t>
        </is>
      </c>
      <c r="C90" s="15" t="n"/>
      <c r="D90" s="15" t="n"/>
      <c r="E90" s="15" t="n"/>
      <c r="F90" s="15" t="n"/>
      <c r="G90" s="15" t="n"/>
      <c r="H90" s="15" t="n"/>
      <c r="I90" s="15" t="n"/>
      <c r="J90" s="15" t="n"/>
      <c r="K90" s="15" t="n"/>
      <c r="L90" s="13" t="n"/>
    </row>
    <row r="91" ht="28" customHeight="1">
      <c r="A91" s="6" t="inlineStr">
        <is>
          <t>Finding</t>
        </is>
      </c>
      <c r="B91" s="7" t="inlineStr">
        <is>
          <t>The average of both models is the most accurate system (AUROC 0.8428, F1 0.3818) but costs 1.18x RAD-DINO.</t>
        </is>
      </c>
      <c r="C91" s="15" t="n"/>
      <c r="D91" s="15" t="n"/>
      <c r="E91" s="15" t="n"/>
      <c r="F91" s="15" t="n"/>
      <c r="G91" s="15" t="n"/>
      <c r="H91" s="15" t="n"/>
      <c r="I91" s="15" t="n"/>
      <c r="J91" s="15" t="n"/>
      <c r="K91" s="15" t="n"/>
      <c r="L91" s="13" t="n"/>
    </row>
    <row r="92" ht="28" customHeight="1">
      <c r="A92" s="6" t="inlineStr">
        <is>
          <t>Limitation</t>
        </is>
      </c>
      <c r="B92" s="7" t="inlineStr">
        <is>
          <t>One training seed: CIs cover test-set sampling only, not training randomness.</t>
        </is>
      </c>
      <c r="C92" s="15" t="n"/>
      <c r="D92" s="15" t="n"/>
      <c r="E92" s="15" t="n"/>
      <c r="F92" s="15" t="n"/>
      <c r="G92" s="15" t="n"/>
      <c r="H92" s="15" t="n"/>
      <c r="I92" s="15" t="n"/>
      <c r="J92" s="15" t="n"/>
      <c r="K92" s="15" t="n"/>
      <c r="L92" s="13" t="n"/>
    </row>
    <row r="93" ht="28" customHeight="1">
      <c r="A93" s="6" t="inlineStr">
        <is>
          <t>Limitation</t>
        </is>
      </c>
      <c r="B93" s="7" t="inlineStr">
        <is>
          <t>Cascade cost is composed from separately measured model latencies (image decoding and routing overhead not included).</t>
        </is>
      </c>
      <c r="C93" s="15" t="n"/>
      <c r="D93" s="15" t="n"/>
      <c r="E93" s="15" t="n"/>
      <c r="F93" s="15" t="n"/>
      <c r="G93" s="15" t="n"/>
      <c r="H93" s="15" t="n"/>
      <c r="I93" s="15" t="n"/>
      <c r="J93" s="15" t="n"/>
      <c r="K93" s="15" t="n"/>
      <c r="L93" s="13" t="n"/>
    </row>
    <row r="94" ht="28" customHeight="1">
      <c r="A94" s="6" t="inlineStr">
        <is>
          <t>Next step</t>
        </is>
      </c>
      <c r="B94" s="7" t="inlineStr">
        <is>
          <t>If compute matters: use a cheaper stage 1 (e.g. ConvNeXt-Tiny at 224 px) to lower the 18% floor, and set the 'confident No' cut-off per class below that class's F1 threshold.</t>
        </is>
      </c>
      <c r="C94" s="15" t="n"/>
      <c r="D94" s="15" t="n"/>
      <c r="E94" s="15" t="n"/>
      <c r="F94" s="15" t="n"/>
      <c r="G94" s="15" t="n"/>
      <c r="H94" s="15" t="n"/>
      <c r="I94" s="15" t="n"/>
      <c r="J94" s="15" t="n"/>
      <c r="K94" s="15" t="n"/>
      <c r="L94" s="13" t="n"/>
    </row>
    <row r="95" ht="28" customHeight="1">
      <c r="A95" s="6" t="inlineStr">
        <is>
          <t>Next step</t>
        </is>
      </c>
      <c r="B95" s="7" t="inlineStr">
        <is>
          <t>Otherwise report the cascade as a negative result on the official split and recommend RAD-DINO alone (or the average if cost is not a concern).</t>
        </is>
      </c>
      <c r="C95" s="15" t="n"/>
      <c r="D95" s="15" t="n"/>
      <c r="E95" s="15" t="n"/>
      <c r="F95" s="15" t="n"/>
      <c r="G95" s="15" t="n"/>
      <c r="H95" s="15" t="n"/>
      <c r="I95" s="15" t="n"/>
      <c r="J95" s="15" t="n"/>
      <c r="K95" s="15" t="n"/>
      <c r="L95" s="13" t="n"/>
    </row>
  </sheetData>
  <mergeCells count="36">
    <mergeCell ref="A54:L54"/>
    <mergeCell ref="B91:L91"/>
    <mergeCell ref="B7:L7"/>
    <mergeCell ref="B90:L90"/>
    <mergeCell ref="B93:L93"/>
    <mergeCell ref="E39:L39"/>
    <mergeCell ref="A2:L2"/>
    <mergeCell ref="E35:L35"/>
    <mergeCell ref="B12:L12"/>
    <mergeCell ref="D43:L43"/>
    <mergeCell ref="B86:L86"/>
    <mergeCell ref="B11:L11"/>
    <mergeCell ref="E38:L38"/>
    <mergeCell ref="B8:L8"/>
    <mergeCell ref="E34:L34"/>
    <mergeCell ref="B13:L13"/>
    <mergeCell ref="B88:L88"/>
    <mergeCell ref="A63:L63"/>
    <mergeCell ref="B87:L87"/>
    <mergeCell ref="A31:L31"/>
    <mergeCell ref="B10:L10"/>
    <mergeCell ref="E36:L36"/>
    <mergeCell ref="A40:L40"/>
    <mergeCell ref="D44:L44"/>
    <mergeCell ref="B9:L9"/>
    <mergeCell ref="A82:L82"/>
    <mergeCell ref="B92:L92"/>
    <mergeCell ref="B6:L6"/>
    <mergeCell ref="A1:L1"/>
    <mergeCell ref="B94:L94"/>
    <mergeCell ref="B5:L5"/>
    <mergeCell ref="B95:L95"/>
    <mergeCell ref="B89:L89"/>
    <mergeCell ref="D45:L45"/>
    <mergeCell ref="B85:L85"/>
    <mergeCell ref="E37:L37"/>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2026-09-24T08:19:29Z</dcterms:created>
  <dcterms:modified xsi:type="dcterms:W3CDTF">2026-09-24T08:19:30Z</dcterms:modified>
</cp:coreProperties>
</file>