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ntents" sheetId="1" state="visible" r:id="rId1"/>
    <sheet name="1. Dataset" sheetId="2" state="visible" r:id="rId2"/>
    <sheet name="2. Model Details" sheetId="3" state="visible" r:id="rId3"/>
    <sheet name="3. Team Models (random split)" sheetId="4" state="visible" r:id="rId4"/>
    <sheet name="4. Official Split Results" sheetId="5" state="visible" r:id="rId5"/>
    <sheet name="5. Two-Stage Cascade" sheetId="6" state="visible" r:id="rId6"/>
    <sheet name="6. Two-Stage (Random Split)" sheetId="7" state="visible" r:id="rId7"/>
    <sheet name="7. Distill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10">
    <numFmt numFmtId="164" formatCode="0.00\x"/>
    <numFmt numFmtId="165" formatCode="0.0%"/>
    <numFmt numFmtId="166" formatCode="0.0\x"/>
    <numFmt numFmtId="167" formatCode="0.0000"/>
    <numFmt numFmtId="168" formatCode="0.000"/>
    <numFmt numFmtId="169" formatCode="\+0.0000;\-0.0000"/>
    <numFmt numFmtId="170" formatCode="\+0.0%;\-0.0%"/>
    <numFmt numFmtId="171" formatCode="0.0"/>
    <numFmt numFmtId="172" formatCode="\+0.000;\-0.000"/>
    <numFmt numFmtId="173" formatCode="\+#,##0;\-#,##0;0"/>
  </numFmts>
  <fonts count="26">
    <font>
      <name val="Calibri"/>
      <charset val="1"/>
      <family val="0"/>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595959"/>
      <sz val="9"/>
    </font>
    <font>
      <name val="Arial"/>
      <charset val="1"/>
      <family val="0"/>
      <b val="1"/>
      <color theme="1"/>
      <sz val="9"/>
    </font>
    <font>
      <name val="Arial"/>
      <charset val="1"/>
      <family val="0"/>
      <b val="1"/>
      <color rgb="FFFFFFFF"/>
      <sz val="10"/>
    </font>
    <font>
      <name val="Arial"/>
      <charset val="1"/>
      <family val="0"/>
      <b val="1"/>
      <color theme="1"/>
      <sz val="10"/>
    </font>
    <font>
      <name val="Arial"/>
      <charset val="1"/>
      <family val="0"/>
      <color theme="1"/>
      <sz val="10"/>
    </font>
    <font>
      <name val="Arial"/>
      <charset val="1"/>
      <family val="0"/>
      <b val="1"/>
      <color rgb="FF1F3864"/>
      <sz val="11"/>
    </font>
    <font>
      <name val="Arial"/>
      <charset val="1"/>
      <family val="0"/>
      <color rgb="FF0000FF"/>
      <sz val="10"/>
    </font>
    <font>
      <name val="Calibri"/>
      <family val="2"/>
      <b val="1"/>
      <color rgb="FF757575"/>
      <sz val="18"/>
    </font>
    <font>
      <name val="Calibri"/>
      <family val="2"/>
      <color rgb="FF000000"/>
      <sz val="10"/>
    </font>
    <font>
      <name val="Calibri"/>
      <family val="2"/>
      <b val="1"/>
      <color rgb="FF000000"/>
      <sz val="10"/>
    </font>
    <font>
      <name val="Calibri"/>
      <family val="2"/>
      <color rgb="FF1A1A1A"/>
      <sz val="10"/>
    </font>
    <font>
      <name val="Arial"/>
      <charset val="1"/>
      <family val="0"/>
      <b val="1"/>
      <color theme="1"/>
      <sz val="11"/>
    </font>
    <font>
      <name val="Arial"/>
      <charset val="1"/>
      <family val="0"/>
      <i val="1"/>
      <color rgb="FF666666"/>
      <sz val="9"/>
    </font>
    <font>
      <name val="Arial"/>
      <b val="1"/>
      <color rgb="FFFFFFFF"/>
      <sz val="14"/>
    </font>
    <font>
      <name val="Arial"/>
      <color rgb="FF595959"/>
      <sz val="9"/>
    </font>
    <font>
      <name val="Arial"/>
      <b val="1"/>
      <color rgb="FF1F3864"/>
      <sz val="11"/>
    </font>
    <font>
      <name val="Arial"/>
      <b val="1"/>
      <color rgb="FFFFFFFF"/>
      <sz val="10"/>
    </font>
    <font>
      <name val="Arial"/>
      <b val="1"/>
      <sz val="10"/>
    </font>
    <font>
      <name val="Arial"/>
      <sz val="10"/>
    </font>
    <font>
      <name val="Arial"/>
      <color rgb="FF0000FF"/>
      <sz val="10"/>
    </font>
    <font>
      <name val="Arial"/>
      <color rgb="FF008000"/>
      <sz val="10"/>
    </font>
  </fonts>
  <fills count="20">
    <fill>
      <patternFill/>
    </fill>
    <fill>
      <patternFill patternType="gray125"/>
    </fill>
    <fill>
      <patternFill patternType="solid">
        <fgColor rgb="FF1F3864"/>
        <bgColor rgb="FF1A1A1A"/>
      </patternFill>
    </fill>
    <fill>
      <patternFill patternType="solid">
        <fgColor rgb="FFFCE4D6"/>
        <bgColor rgb="FFFFF2CC"/>
      </patternFill>
    </fill>
    <fill>
      <patternFill patternType="solid">
        <fgColor rgb="FF2E75B6"/>
        <bgColor rgb="FF4F81BD"/>
      </patternFill>
    </fill>
    <fill>
      <patternFill patternType="solid">
        <fgColor rgb="FFD9E2F3"/>
        <bgColor rgb="FFD9D9D9"/>
      </patternFill>
    </fill>
    <fill>
      <patternFill patternType="solid">
        <fgColor rgb="FFFF00FF"/>
        <bgColor rgb="FFFF00FF"/>
      </patternFill>
    </fill>
    <fill>
      <patternFill patternType="solid">
        <fgColor rgb="FFE2EFDA"/>
        <bgColor rgb="FFD9EAD3"/>
      </patternFill>
    </fill>
    <fill>
      <patternFill patternType="solid">
        <fgColor rgb="FF00FFFF"/>
        <bgColor rgb="FF00FFFF"/>
      </patternFill>
    </fill>
    <fill>
      <patternFill patternType="solid">
        <fgColor rgb="FFD9EAD3"/>
        <bgColor rgb="FFE2EFDA"/>
      </patternFill>
    </fill>
    <fill>
      <patternFill patternType="solid">
        <fgColor rgb="FFC6EFCE"/>
        <bgColor rgb="FFD9EAD3"/>
      </patternFill>
    </fill>
    <fill>
      <patternFill patternType="solid">
        <fgColor rgb="FFFFF2CC"/>
        <bgColor rgb="FFFCE4D6"/>
      </patternFill>
    </fill>
    <fill>
      <patternFill patternType="solid">
        <fgColor rgb="FFC00000"/>
        <bgColor rgb="FF800000"/>
      </patternFill>
    </fill>
    <fill>
      <patternFill patternType="solid">
        <fgColor rgb="FFEAF3EE"/>
        <bgColor rgb="FFE2EFDA"/>
      </patternFill>
    </fill>
    <fill>
      <patternFill patternType="solid">
        <fgColor rgb="FF00FF00"/>
        <bgColor rgb="FF33CCCC"/>
      </patternFill>
    </fill>
    <fill>
      <patternFill patternType="solid">
        <fgColor rgb="FF1F3864"/>
      </patternFill>
    </fill>
    <fill>
      <patternFill patternType="solid">
        <fgColor rgb="FFD9E2F3"/>
      </patternFill>
    </fill>
    <fill>
      <patternFill patternType="solid">
        <fgColor rgb="FF2E75B6"/>
      </patternFill>
    </fill>
    <fill>
      <patternFill patternType="solid">
        <fgColor rgb="FFE2EFDA"/>
      </patternFill>
    </fill>
    <fill>
      <patternFill patternType="solid">
        <fgColor rgb="FFC6EFCE"/>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3" borderId="0" applyAlignment="1" pivotButton="0" quotePrefix="0" xfId="0">
      <alignment horizontal="general" vertical="top" wrapText="1"/>
    </xf>
    <xf numFmtId="0" fontId="7" fillId="4" borderId="1" applyAlignment="1" pivotButton="0" quotePrefix="0" xfId="0">
      <alignment horizontal="center" vertical="center" wrapText="1"/>
    </xf>
    <xf numFmtId="0" fontId="8" fillId="0" borderId="1" applyAlignment="1" pivotButton="0" quotePrefix="0" xfId="0">
      <alignment horizontal="left" vertical="top"/>
    </xf>
    <xf numFmtId="0" fontId="9" fillId="0" borderId="1" applyAlignment="1" pivotButton="0" quotePrefix="0" xfId="0">
      <alignment horizontal="left" vertical="top" wrapText="1"/>
    </xf>
    <xf numFmtId="0" fontId="5" fillId="0" borderId="0" applyAlignment="1" pivotButton="0" quotePrefix="0" xfId="0">
      <alignment horizontal="general" vertical="bottom"/>
    </xf>
    <xf numFmtId="0" fontId="10" fillId="5" borderId="0" applyAlignment="1" pivotButton="0" quotePrefix="0" xfId="0">
      <alignment horizontal="general" vertical="bottom"/>
    </xf>
    <xf numFmtId="0" fontId="0" fillId="5" borderId="0" applyAlignment="1" pivotButton="0" quotePrefix="0" xfId="0">
      <alignment horizontal="general" vertical="bottom"/>
    </xf>
    <xf numFmtId="0" fontId="9" fillId="0" borderId="1" applyAlignment="1" pivotButton="0" quotePrefix="0" xfId="0">
      <alignment horizontal="left" vertical="top"/>
    </xf>
    <xf numFmtId="0" fontId="9" fillId="0" borderId="1" applyAlignment="1" pivotButton="0" quotePrefix="0" xfId="0">
      <alignment horizontal="center" vertical="top"/>
    </xf>
    <xf numFmtId="3" fontId="9" fillId="0" borderId="1" applyAlignment="1" pivotButton="0" quotePrefix="0" xfId="0">
      <alignment horizontal="center" vertical="top"/>
    </xf>
    <xf numFmtId="164" fontId="9" fillId="0" borderId="1" applyAlignment="1" pivotButton="0" quotePrefix="0" xfId="0">
      <alignment horizontal="left" vertical="top"/>
    </xf>
    <xf numFmtId="2" fontId="9" fillId="0" borderId="1" applyAlignment="1" pivotButton="0" quotePrefix="0" xfId="0">
      <alignment horizontal="center" vertical="top"/>
    </xf>
    <xf numFmtId="164" fontId="9" fillId="0" borderId="1" applyAlignment="1" pivotButton="0" quotePrefix="0" xfId="0">
      <alignment horizontal="center" vertical="top"/>
    </xf>
    <xf numFmtId="165" fontId="9" fillId="0" borderId="1" applyAlignment="1" pivotButton="0" quotePrefix="0" xfId="0">
      <alignment horizontal="center" vertical="top"/>
    </xf>
    <xf numFmtId="1" fontId="9" fillId="0" borderId="1" applyAlignment="1" pivotButton="0" quotePrefix="0" xfId="0">
      <alignment horizontal="center" vertical="top"/>
    </xf>
    <xf numFmtId="166" fontId="9" fillId="0" borderId="1" applyAlignment="1" pivotButton="0" quotePrefix="0" xfId="0">
      <alignment horizontal="center" vertical="top"/>
    </xf>
    <xf numFmtId="0" fontId="7" fillId="6" borderId="1" applyAlignment="1" pivotButton="0" quotePrefix="0" xfId="0">
      <alignment horizontal="center" vertical="center" wrapText="1"/>
    </xf>
    <xf numFmtId="0" fontId="9" fillId="7" borderId="1" applyAlignment="1" pivotButton="0" quotePrefix="0" xfId="0">
      <alignment horizontal="left" vertical="top" wrapText="1"/>
    </xf>
    <xf numFmtId="0" fontId="8" fillId="8" borderId="1" applyAlignment="1" pivotButton="0" quotePrefix="0" xfId="0">
      <alignment horizontal="left" vertical="top"/>
    </xf>
    <xf numFmtId="0" fontId="9" fillId="8" borderId="1" applyAlignment="1" pivotButton="0" quotePrefix="0" xfId="0">
      <alignment horizontal="left" vertical="top" wrapText="1"/>
    </xf>
    <xf numFmtId="0" fontId="0" fillId="8" borderId="0" applyAlignment="1" pivotButton="0" quotePrefix="0" xfId="0">
      <alignment horizontal="general" vertical="bottom"/>
    </xf>
    <xf numFmtId="3" fontId="9" fillId="0" borderId="1" applyAlignment="1" pivotButton="0" quotePrefix="0" xfId="0">
      <alignment horizontal="center" vertical="top" wrapText="1"/>
    </xf>
    <xf numFmtId="0" fontId="9" fillId="0" borderId="1" applyAlignment="1" pivotButton="0" quotePrefix="0" xfId="0">
      <alignment horizontal="center" vertical="top" wrapText="1"/>
    </xf>
    <xf numFmtId="0" fontId="9" fillId="9" borderId="1" applyAlignment="1" pivotButton="0" quotePrefix="0" xfId="0">
      <alignment horizontal="left" vertical="top" wrapText="1"/>
    </xf>
    <xf numFmtId="167" fontId="9" fillId="0" borderId="1" applyAlignment="1" pivotButton="0" quotePrefix="0" xfId="0">
      <alignment horizontal="center" vertical="top" wrapText="1"/>
    </xf>
    <xf numFmtId="2" fontId="9" fillId="0" borderId="1" applyAlignment="1" pivotButton="0" quotePrefix="0" xfId="0">
      <alignment horizontal="center" vertical="top" wrapText="1"/>
    </xf>
    <xf numFmtId="168" fontId="9" fillId="0" borderId="1" applyAlignment="1" pivotButton="0" quotePrefix="0" xfId="0">
      <alignment horizontal="center" vertical="top"/>
    </xf>
    <xf numFmtId="168" fontId="9" fillId="0" borderId="1" applyAlignment="1" pivotButton="0" quotePrefix="0" xfId="0">
      <alignment horizontal="left" vertical="top"/>
    </xf>
    <xf numFmtId="168" fontId="8" fillId="10" borderId="1" applyAlignment="1" pivotButton="0" quotePrefix="0" xfId="0">
      <alignment horizontal="center" vertical="top"/>
    </xf>
    <xf numFmtId="167" fontId="9" fillId="0" borderId="1" applyAlignment="1" pivotButton="0" quotePrefix="0" xfId="0">
      <alignment horizontal="center" vertical="top"/>
    </xf>
    <xf numFmtId="167" fontId="8" fillId="10" borderId="1" applyAlignment="1" pivotButton="0" quotePrefix="0" xfId="0">
      <alignment horizontal="center" vertical="top"/>
    </xf>
    <xf numFmtId="0" fontId="9" fillId="7" borderId="1" applyAlignment="1" pivotButton="0" quotePrefix="0" xfId="0">
      <alignment horizontal="left" vertical="top"/>
    </xf>
    <xf numFmtId="167" fontId="9" fillId="7" borderId="1" applyAlignment="1" pivotButton="0" quotePrefix="0" xfId="0">
      <alignment horizontal="center" vertical="top"/>
    </xf>
    <xf numFmtId="169" fontId="9" fillId="0" borderId="1" applyAlignment="1" pivotButton="0" quotePrefix="0" xfId="0">
      <alignment horizontal="center" vertical="top"/>
    </xf>
    <xf numFmtId="170" fontId="9" fillId="0" borderId="1" applyAlignment="1" pivotButton="0" quotePrefix="0" xfId="0">
      <alignment horizontal="center" vertical="top"/>
    </xf>
    <xf numFmtId="0" fontId="9" fillId="11" borderId="1" applyAlignment="1" pivotButton="0" quotePrefix="0" xfId="0">
      <alignment horizontal="left" vertical="top"/>
    </xf>
    <xf numFmtId="3" fontId="8" fillId="0" borderId="1" applyAlignment="1" pivotButton="0" quotePrefix="0" xfId="0">
      <alignment horizontal="center" vertical="top"/>
    </xf>
    <xf numFmtId="168" fontId="8" fillId="0" borderId="1" applyAlignment="1" pivotButton="0" quotePrefix="0" xfId="0">
      <alignment horizontal="center" vertical="top"/>
    </xf>
    <xf numFmtId="171" fontId="9" fillId="0" borderId="1" applyAlignment="1" pivotButton="0" quotePrefix="0" xfId="0">
      <alignment horizontal="center" vertical="top"/>
    </xf>
    <xf numFmtId="167" fontId="9" fillId="0" borderId="1" applyAlignment="1" pivotButton="0" quotePrefix="0" xfId="0">
      <alignment horizontal="left" vertical="top"/>
    </xf>
    <xf numFmtId="171" fontId="9" fillId="0" borderId="1" applyAlignment="1" pivotButton="0" quotePrefix="0" xfId="0">
      <alignment horizontal="left" vertical="top"/>
    </xf>
    <xf numFmtId="165" fontId="9" fillId="7" borderId="1" applyAlignment="1" pivotButton="0" quotePrefix="0" xfId="0">
      <alignment horizontal="center" vertical="top"/>
    </xf>
    <xf numFmtId="2" fontId="9" fillId="7" borderId="1" applyAlignment="1" pivotButton="0" quotePrefix="0" xfId="0">
      <alignment horizontal="center" vertical="top"/>
    </xf>
    <xf numFmtId="3" fontId="9" fillId="7" borderId="1" applyAlignment="1" pivotButton="0" quotePrefix="0" xfId="0">
      <alignment horizontal="center" vertical="top"/>
    </xf>
    <xf numFmtId="2" fontId="11" fillId="0" borderId="1" applyAlignment="1" pivotButton="0" quotePrefix="0" xfId="0">
      <alignment horizontal="center" vertical="top"/>
    </xf>
    <xf numFmtId="165" fontId="11" fillId="0" borderId="1" applyAlignment="1" pivotButton="0" quotePrefix="0" xfId="0">
      <alignment horizontal="center" vertical="top"/>
    </xf>
    <xf numFmtId="165" fontId="11" fillId="7" borderId="1" applyAlignment="1" pivotButton="0" quotePrefix="0" xfId="0">
      <alignment horizontal="center" vertical="top"/>
    </xf>
    <xf numFmtId="165" fontId="8" fillId="0" borderId="1" applyAlignment="1" pivotButton="0" quotePrefix="0" xfId="0">
      <alignment horizontal="center" vertical="top"/>
    </xf>
    <xf numFmtId="0" fontId="4" fillId="2" borderId="2" applyAlignment="1" pivotButton="0" quotePrefix="0" xfId="0">
      <alignment horizontal="general" vertical="bottom" wrapText="1"/>
    </xf>
    <xf numFmtId="0" fontId="7" fillId="12" borderId="2" applyAlignment="1" pivotButton="0" quotePrefix="0" xfId="0">
      <alignment horizontal="general" vertical="top" wrapText="1"/>
    </xf>
    <xf numFmtId="0" fontId="0" fillId="0" borderId="2" applyAlignment="1" pivotButton="0" quotePrefix="0" xfId="0">
      <alignment horizontal="general" vertical="bottom" wrapText="1"/>
    </xf>
    <xf numFmtId="0" fontId="16" fillId="0" borderId="2" applyAlignment="1" pivotButton="0" quotePrefix="0" xfId="0">
      <alignment horizontal="general" vertical="bottom" wrapText="1"/>
    </xf>
    <xf numFmtId="0" fontId="7" fillId="4" borderId="2" applyAlignment="1" pivotButton="0" quotePrefix="0" xfId="0">
      <alignment horizontal="general" vertical="bottom" wrapText="1"/>
    </xf>
    <xf numFmtId="0" fontId="9" fillId="0" borderId="2" applyAlignment="1" pivotButton="0" quotePrefix="0" xfId="0">
      <alignment horizontal="general" vertical="bottom" wrapText="1"/>
    </xf>
    <xf numFmtId="0" fontId="8" fillId="0" borderId="2" applyAlignment="1" pivotButton="0" quotePrefix="0" xfId="0">
      <alignment horizontal="general" vertical="bottom" wrapText="1"/>
    </xf>
    <xf numFmtId="0" fontId="17" fillId="0" borderId="2" applyAlignment="1" pivotButton="0" quotePrefix="0" xfId="0">
      <alignment horizontal="general" vertical="top" wrapText="1"/>
    </xf>
    <xf numFmtId="0" fontId="8" fillId="13" borderId="2" applyAlignment="1" pivotButton="0" quotePrefix="0" xfId="0">
      <alignment horizontal="general" vertical="bottom" wrapText="1"/>
    </xf>
    <xf numFmtId="0" fontId="8" fillId="14" borderId="2" applyAlignment="1" pivotButton="0" quotePrefix="0" xfId="0">
      <alignment horizontal="general" vertical="bottom" wrapText="1"/>
    </xf>
    <xf numFmtId="0" fontId="9" fillId="13" borderId="2" applyAlignment="1" pivotButton="0" quotePrefix="0" xfId="0">
      <alignment horizontal="general" vertical="bottom" wrapText="1"/>
    </xf>
    <xf numFmtId="0" fontId="9" fillId="0"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3" borderId="0" applyAlignment="1" pivotButton="0" quotePrefix="0" xfId="0">
      <alignment horizontal="general" vertical="top" wrapText="1"/>
    </xf>
    <xf numFmtId="0" fontId="7" fillId="4" borderId="1" applyAlignment="1" pivotButton="0" quotePrefix="0" xfId="0">
      <alignment horizontal="center" vertical="center" wrapText="1"/>
    </xf>
    <xf numFmtId="0" fontId="8" fillId="0" borderId="1" applyAlignment="1" pivotButton="0" quotePrefix="0" xfId="0">
      <alignment horizontal="left" vertical="top"/>
    </xf>
    <xf numFmtId="0" fontId="9" fillId="0" borderId="1" applyAlignment="1" pivotButton="0" quotePrefix="0" xfId="0">
      <alignment horizontal="left" vertical="top" wrapText="1"/>
    </xf>
    <xf numFmtId="0" fontId="22" fillId="0" borderId="1" applyAlignment="1" pivotButton="0" quotePrefix="0" xfId="0">
      <alignment horizontal="left" vertical="center"/>
    </xf>
    <xf numFmtId="0" fontId="23" fillId="0" borderId="1" applyAlignment="1" pivotButton="0" quotePrefix="0" xfId="0">
      <alignment horizontal="left" vertical="center" wrapText="1"/>
    </xf>
    <xf numFmtId="0" fontId="5" fillId="0" borderId="0" applyAlignment="1" pivotButton="0" quotePrefix="0" xfId="0">
      <alignment horizontal="general" vertical="bottom"/>
    </xf>
    <xf numFmtId="0" fontId="10" fillId="5" borderId="0" applyAlignment="1" pivotButton="0" quotePrefix="0" xfId="0">
      <alignment horizontal="general" vertical="bottom"/>
    </xf>
    <xf numFmtId="0" fontId="0" fillId="5" borderId="0" applyAlignment="1" pivotButton="0" quotePrefix="0" xfId="0">
      <alignment horizontal="general" vertical="bottom"/>
    </xf>
    <xf numFmtId="0" fontId="9" fillId="0" borderId="1" applyAlignment="1" pivotButton="0" quotePrefix="0" xfId="0">
      <alignment horizontal="left" vertical="top"/>
    </xf>
    <xf numFmtId="0" fontId="9" fillId="0" borderId="1" applyAlignment="1" pivotButton="0" quotePrefix="0" xfId="0">
      <alignment horizontal="center" vertical="top"/>
    </xf>
    <xf numFmtId="3" fontId="9" fillId="0" borderId="1" applyAlignment="1" pivotButton="0" quotePrefix="0" xfId="0">
      <alignment horizontal="center" vertical="top"/>
    </xf>
    <xf numFmtId="0" fontId="0" fillId="0" borderId="5" pivotButton="0" quotePrefix="0" xfId="0"/>
    <xf numFmtId="164" fontId="9" fillId="0" borderId="1" applyAlignment="1" pivotButton="0" quotePrefix="0" xfId="0">
      <alignment horizontal="left" vertical="top"/>
    </xf>
    <xf numFmtId="0" fontId="0" fillId="0" borderId="6" pivotButton="0" quotePrefix="0" xfId="0"/>
    <xf numFmtId="2" fontId="9" fillId="0" borderId="1" applyAlignment="1" pivotButton="0" quotePrefix="0" xfId="0">
      <alignment horizontal="center" vertical="top"/>
    </xf>
    <xf numFmtId="164" fontId="9" fillId="0" borderId="1" applyAlignment="1" pivotButton="0" quotePrefix="0" xfId="0">
      <alignment horizontal="center" vertical="top"/>
    </xf>
    <xf numFmtId="165" fontId="9" fillId="0" borderId="1" applyAlignment="1" pivotButton="0" quotePrefix="0" xfId="0">
      <alignment horizontal="center" vertical="top"/>
    </xf>
    <xf numFmtId="1" fontId="9" fillId="0" borderId="1" applyAlignment="1" pivotButton="0" quotePrefix="0" xfId="0">
      <alignment horizontal="center" vertical="top"/>
    </xf>
    <xf numFmtId="166" fontId="9" fillId="0" borderId="1" applyAlignment="1" pivotButton="0" quotePrefix="0" xfId="0">
      <alignment horizontal="center" vertical="top"/>
    </xf>
    <xf numFmtId="0" fontId="7" fillId="6" borderId="1" applyAlignment="1" pivotButton="0" quotePrefix="0" xfId="0">
      <alignment horizontal="center" vertical="center" wrapText="1"/>
    </xf>
    <xf numFmtId="0" fontId="9" fillId="7" borderId="1" applyAlignment="1" pivotButton="0" quotePrefix="0" xfId="0">
      <alignment horizontal="left" vertical="top" wrapText="1"/>
    </xf>
    <xf numFmtId="0" fontId="8" fillId="8" borderId="1" applyAlignment="1" pivotButton="0" quotePrefix="0" xfId="0">
      <alignment horizontal="left" vertical="top"/>
    </xf>
    <xf numFmtId="0" fontId="9" fillId="8" borderId="1" applyAlignment="1" pivotButton="0" quotePrefix="0" xfId="0">
      <alignment horizontal="left" vertical="top" wrapText="1"/>
    </xf>
    <xf numFmtId="0" fontId="0" fillId="8" borderId="0" applyAlignment="1" pivotButton="0" quotePrefix="0" xfId="0">
      <alignment horizontal="general" vertical="bottom"/>
    </xf>
    <xf numFmtId="3" fontId="9" fillId="0" borderId="1" applyAlignment="1" pivotButton="0" quotePrefix="0" xfId="0">
      <alignment horizontal="center" vertical="top" wrapText="1"/>
    </xf>
    <xf numFmtId="0" fontId="9" fillId="0" borderId="1" applyAlignment="1" pivotButton="0" quotePrefix="0" xfId="0">
      <alignment horizontal="center" vertical="top" wrapText="1"/>
    </xf>
    <xf numFmtId="0" fontId="9" fillId="9" borderId="1" applyAlignment="1" pivotButton="0" quotePrefix="0" xfId="0">
      <alignment horizontal="left" vertical="top" wrapText="1"/>
    </xf>
    <xf numFmtId="167" fontId="9" fillId="0" borderId="1" applyAlignment="1" pivotButton="0" quotePrefix="0" xfId="0">
      <alignment horizontal="center" vertical="top" wrapText="1"/>
    </xf>
    <xf numFmtId="2" fontId="9" fillId="0" borderId="1" applyAlignment="1" pivotButton="0" quotePrefix="0" xfId="0">
      <alignment horizontal="center" vertical="top" wrapText="1"/>
    </xf>
    <xf numFmtId="168" fontId="9" fillId="0" borderId="1" applyAlignment="1" pivotButton="0" quotePrefix="0" xfId="0">
      <alignment horizontal="center" vertical="top"/>
    </xf>
    <xf numFmtId="168" fontId="9" fillId="0" borderId="1" applyAlignment="1" pivotButton="0" quotePrefix="0" xfId="0">
      <alignment horizontal="left" vertical="top"/>
    </xf>
    <xf numFmtId="168" fontId="8" fillId="10" borderId="1" applyAlignment="1" pivotButton="0" quotePrefix="0" xfId="0">
      <alignment horizontal="center" vertical="top"/>
    </xf>
    <xf numFmtId="167" fontId="9" fillId="0" borderId="1" applyAlignment="1" pivotButton="0" quotePrefix="0" xfId="0">
      <alignment horizontal="center" vertical="top"/>
    </xf>
    <xf numFmtId="167" fontId="8" fillId="10" borderId="1" applyAlignment="1" pivotButton="0" quotePrefix="0" xfId="0">
      <alignment horizontal="center" vertical="top"/>
    </xf>
    <xf numFmtId="0" fontId="9" fillId="7" borderId="1" applyAlignment="1" pivotButton="0" quotePrefix="0" xfId="0">
      <alignment horizontal="left" vertical="top"/>
    </xf>
    <xf numFmtId="167" fontId="9" fillId="7" borderId="1" applyAlignment="1" pivotButton="0" quotePrefix="0" xfId="0">
      <alignment horizontal="center" vertical="top"/>
    </xf>
    <xf numFmtId="169" fontId="9" fillId="0" borderId="1" applyAlignment="1" pivotButton="0" quotePrefix="0" xfId="0">
      <alignment horizontal="center" vertical="top"/>
    </xf>
    <xf numFmtId="170" fontId="9" fillId="0" borderId="1" applyAlignment="1" pivotButton="0" quotePrefix="0" xfId="0">
      <alignment horizontal="center" vertical="top"/>
    </xf>
    <xf numFmtId="0" fontId="9" fillId="11" borderId="1" applyAlignment="1" pivotButton="0" quotePrefix="0" xfId="0">
      <alignment horizontal="left" vertical="top"/>
    </xf>
    <xf numFmtId="3" fontId="8" fillId="0" borderId="1" applyAlignment="1" pivotButton="0" quotePrefix="0" xfId="0">
      <alignment horizontal="center" vertical="top"/>
    </xf>
    <xf numFmtId="168" fontId="8" fillId="0" borderId="1" applyAlignment="1" pivotButton="0" quotePrefix="0" xfId="0">
      <alignment horizontal="center" vertical="top"/>
    </xf>
    <xf numFmtId="171" fontId="9" fillId="0" borderId="1" applyAlignment="1" pivotButton="0" quotePrefix="0" xfId="0">
      <alignment horizontal="center" vertical="top"/>
    </xf>
    <xf numFmtId="167" fontId="9" fillId="0" borderId="1" applyAlignment="1" pivotButton="0" quotePrefix="0" xfId="0">
      <alignment horizontal="left" vertical="top"/>
    </xf>
    <xf numFmtId="171" fontId="9" fillId="0" borderId="1" applyAlignment="1" pivotButton="0" quotePrefix="0" xfId="0">
      <alignment horizontal="left" vertical="top"/>
    </xf>
    <xf numFmtId="165" fontId="9" fillId="7" borderId="1" applyAlignment="1" pivotButton="0" quotePrefix="0" xfId="0">
      <alignment horizontal="center" vertical="top"/>
    </xf>
    <xf numFmtId="2" fontId="9" fillId="7" borderId="1" applyAlignment="1" pivotButton="0" quotePrefix="0" xfId="0">
      <alignment horizontal="center" vertical="top"/>
    </xf>
    <xf numFmtId="3" fontId="9" fillId="7" borderId="1" applyAlignment="1" pivotButton="0" quotePrefix="0" xfId="0">
      <alignment horizontal="center" vertical="top"/>
    </xf>
    <xf numFmtId="2" fontId="11" fillId="0" borderId="1" applyAlignment="1" pivotButton="0" quotePrefix="0" xfId="0">
      <alignment horizontal="center" vertical="top"/>
    </xf>
    <xf numFmtId="165" fontId="11" fillId="0" borderId="1" applyAlignment="1" pivotButton="0" quotePrefix="0" xfId="0">
      <alignment horizontal="center" vertical="top"/>
    </xf>
    <xf numFmtId="165" fontId="11" fillId="7" borderId="1" applyAlignment="1" pivotButton="0" quotePrefix="0" xfId="0">
      <alignment horizontal="center" vertical="top"/>
    </xf>
    <xf numFmtId="165" fontId="8" fillId="0" borderId="1" applyAlignment="1" pivotButton="0" quotePrefix="0" xfId="0">
      <alignment horizontal="center" vertical="top"/>
    </xf>
    <xf numFmtId="0" fontId="4" fillId="2" borderId="2" applyAlignment="1" pivotButton="0" quotePrefix="0" xfId="0">
      <alignment horizontal="general" vertical="bottom" wrapText="1"/>
    </xf>
    <xf numFmtId="0" fontId="0" fillId="0" borderId="9" pivotButton="0" quotePrefix="0" xfId="0"/>
    <xf numFmtId="0" fontId="0" fillId="0" borderId="10" pivotButton="0" quotePrefix="0" xfId="0"/>
    <xf numFmtId="0" fontId="7" fillId="12" borderId="2" applyAlignment="1" pivotButton="0" quotePrefix="0" xfId="0">
      <alignment horizontal="general" vertical="top" wrapText="1"/>
    </xf>
    <xf numFmtId="0" fontId="0" fillId="0" borderId="2" applyAlignment="1" pivotButton="0" quotePrefix="0" xfId="0">
      <alignment horizontal="general" vertical="bottom" wrapText="1"/>
    </xf>
    <xf numFmtId="0" fontId="16" fillId="0" borderId="2" applyAlignment="1" pivotButton="0" quotePrefix="0" xfId="0">
      <alignment horizontal="general" vertical="bottom" wrapText="1"/>
    </xf>
    <xf numFmtId="0" fontId="7" fillId="4" borderId="2" applyAlignment="1" pivotButton="0" quotePrefix="0" xfId="0">
      <alignment horizontal="general" vertical="bottom" wrapText="1"/>
    </xf>
    <xf numFmtId="0" fontId="9" fillId="0" borderId="2" applyAlignment="1" pivotButton="0" quotePrefix="0" xfId="0">
      <alignment horizontal="general" vertical="bottom" wrapText="1"/>
    </xf>
    <xf numFmtId="0" fontId="8" fillId="0" borderId="2" applyAlignment="1" pivotButton="0" quotePrefix="0" xfId="0">
      <alignment horizontal="general" vertical="bottom" wrapText="1"/>
    </xf>
    <xf numFmtId="0" fontId="17" fillId="0" borderId="2" applyAlignment="1" pivotButton="0" quotePrefix="0" xfId="0">
      <alignment horizontal="general" vertical="top" wrapText="1"/>
    </xf>
    <xf numFmtId="0" fontId="8" fillId="13" borderId="2" applyAlignment="1" pivotButton="0" quotePrefix="0" xfId="0">
      <alignment horizontal="general" vertical="bottom" wrapText="1"/>
    </xf>
    <xf numFmtId="0" fontId="8" fillId="14" borderId="2" applyAlignment="1" pivotButton="0" quotePrefix="0" xfId="0">
      <alignment horizontal="general" vertical="bottom" wrapText="1"/>
    </xf>
    <xf numFmtId="0" fontId="9" fillId="13" borderId="2" applyAlignment="1" pivotButton="0" quotePrefix="0" xfId="0">
      <alignment horizontal="general" vertical="bottom" wrapText="1"/>
    </xf>
    <xf numFmtId="0" fontId="9" fillId="0" borderId="2" applyAlignment="1" pivotButton="0" quotePrefix="0" xfId="0">
      <alignment horizontal="general" vertical="top" wrapText="1"/>
    </xf>
    <xf numFmtId="0" fontId="18" fillId="15" borderId="0" pivotButton="0" quotePrefix="0" xfId="0"/>
    <xf numFmtId="0" fontId="0" fillId="15" borderId="0" pivotButton="0" quotePrefix="0" xfId="0"/>
    <xf numFmtId="0" fontId="19" fillId="0" borderId="0" applyAlignment="1" pivotButton="0" quotePrefix="0" xfId="0">
      <alignment vertical="top" wrapText="1"/>
    </xf>
    <xf numFmtId="0" fontId="20" fillId="16" borderId="0" pivotButton="0" quotePrefix="0" xfId="0"/>
    <xf numFmtId="0" fontId="0" fillId="16" borderId="0" pivotButton="0" quotePrefix="0" xfId="0"/>
    <xf numFmtId="0" fontId="21" fillId="17" borderId="11" applyAlignment="1" pivotButton="0" quotePrefix="0" xfId="0">
      <alignment horizontal="center" vertical="center" wrapText="1"/>
    </xf>
    <xf numFmtId="0" fontId="22" fillId="0" borderId="11" applyAlignment="1" pivotButton="0" quotePrefix="0" xfId="0">
      <alignment horizontal="left" vertical="center"/>
    </xf>
    <xf numFmtId="0" fontId="23" fillId="0" borderId="11" applyAlignment="1" pivotButton="0" quotePrefix="0" xfId="0">
      <alignment horizontal="left" vertical="center" wrapText="1"/>
    </xf>
    <xf numFmtId="0" fontId="0" fillId="0" borderId="11" pivotButton="0" quotePrefix="0" xfId="0"/>
    <xf numFmtId="0" fontId="23" fillId="0" borderId="11" applyAlignment="1" pivotButton="0" quotePrefix="0" xfId="0">
      <alignment horizontal="left" vertical="center"/>
    </xf>
    <xf numFmtId="167" fontId="23" fillId="0" borderId="11" applyAlignment="1" pivotButton="0" quotePrefix="0" xfId="0">
      <alignment horizontal="center" vertical="center"/>
    </xf>
    <xf numFmtId="169" fontId="23" fillId="0" borderId="11" applyAlignment="1" pivotButton="0" quotePrefix="0" xfId="0">
      <alignment horizontal="center" vertical="center"/>
    </xf>
    <xf numFmtId="2" fontId="24" fillId="0" borderId="11" applyAlignment="1" pivotButton="0" quotePrefix="0" xfId="0">
      <alignment horizontal="center" vertical="center"/>
    </xf>
    <xf numFmtId="0" fontId="22" fillId="0" borderId="11" applyAlignment="1" pivotButton="0" quotePrefix="0" xfId="0">
      <alignment horizontal="center" vertical="center"/>
    </xf>
    <xf numFmtId="0" fontId="23" fillId="0" borderId="11" applyAlignment="1" pivotButton="0" quotePrefix="0" xfId="0">
      <alignment horizontal="center" vertical="center"/>
    </xf>
    <xf numFmtId="167" fontId="22" fillId="0" borderId="11" applyAlignment="1" pivotButton="0" quotePrefix="0" xfId="0">
      <alignment horizontal="center" vertical="center"/>
    </xf>
    <xf numFmtId="169" fontId="22" fillId="0" borderId="11" applyAlignment="1" pivotButton="0" quotePrefix="0" xfId="0">
      <alignment horizontal="center" vertical="center"/>
    </xf>
    <xf numFmtId="167" fontId="25" fillId="0" borderId="11" applyAlignment="1" pivotButton="0" quotePrefix="0" xfId="0">
      <alignment horizontal="center" vertical="center"/>
    </xf>
    <xf numFmtId="0" fontId="25" fillId="0" borderId="11" applyAlignment="1" pivotButton="0" quotePrefix="0" xfId="0">
      <alignment horizontal="left" vertical="center"/>
    </xf>
    <xf numFmtId="2" fontId="25" fillId="0" borderId="11" applyAlignment="1" pivotButton="0" quotePrefix="0" xfId="0">
      <alignment horizontal="center" vertical="center"/>
    </xf>
    <xf numFmtId="167" fontId="25" fillId="19" borderId="11" applyAlignment="1" pivotButton="0" quotePrefix="0" xfId="0">
      <alignment horizontal="center" vertical="center"/>
    </xf>
    <xf numFmtId="0" fontId="22" fillId="18" borderId="11" applyAlignment="1" pivotButton="0" quotePrefix="0" xfId="0">
      <alignment horizontal="left" vertical="center"/>
    </xf>
    <xf numFmtId="167" fontId="23" fillId="18" borderId="11" applyAlignment="1" pivotButton="0" quotePrefix="0" xfId="0">
      <alignment horizontal="center" vertical="center"/>
    </xf>
    <xf numFmtId="0" fontId="23" fillId="18" borderId="11" applyAlignment="1" pivotButton="0" quotePrefix="0" xfId="0">
      <alignment horizontal="left" vertical="center"/>
    </xf>
    <xf numFmtId="167" fontId="23" fillId="19" borderId="11" applyAlignment="1" pivotButton="0" quotePrefix="0" xfId="0">
      <alignment horizontal="center" vertical="center"/>
    </xf>
    <xf numFmtId="2" fontId="25" fillId="18" borderId="11" applyAlignment="1" pivotButton="0" quotePrefix="0" xfId="0">
      <alignment horizontal="center" vertical="center"/>
    </xf>
    <xf numFmtId="170" fontId="23" fillId="0" borderId="11" applyAlignment="1" pivotButton="0" quotePrefix="0" xfId="0">
      <alignment horizontal="center" vertical="center"/>
    </xf>
    <xf numFmtId="168" fontId="23" fillId="0" borderId="11" applyAlignment="1" pivotButton="0" quotePrefix="0" xfId="0">
      <alignment horizontal="center" vertical="center"/>
    </xf>
    <xf numFmtId="169" fontId="24" fillId="0" borderId="11" applyAlignment="1" pivotButton="0" quotePrefix="0" xfId="0">
      <alignment horizontal="center" vertical="center"/>
    </xf>
    <xf numFmtId="0" fontId="0" fillId="18" borderId="11" pivotButton="0" quotePrefix="0" xfId="0"/>
    <xf numFmtId="9" fontId="23" fillId="0" borderId="11" applyAlignment="1" pivotButton="0" quotePrefix="0" xfId="0">
      <alignment horizontal="center" vertical="center"/>
    </xf>
    <xf numFmtId="167" fontId="24" fillId="0" borderId="11" applyAlignment="1" pivotButton="0" quotePrefix="0" xfId="0">
      <alignment horizontal="center" vertical="center"/>
    </xf>
    <xf numFmtId="3" fontId="23" fillId="0" borderId="11" applyAlignment="1" pivotButton="0" quotePrefix="0" xfId="0">
      <alignment horizontal="center" vertical="center"/>
    </xf>
    <xf numFmtId="172" fontId="23" fillId="0" borderId="11" applyAlignment="1" pivotButton="0" quotePrefix="0" xfId="0">
      <alignment horizontal="center" vertical="center"/>
    </xf>
    <xf numFmtId="2" fontId="23" fillId="0" borderId="11" applyAlignment="1" pivotButton="0" quotePrefix="0" xfId="0">
      <alignment horizontal="center" vertical="center"/>
    </xf>
    <xf numFmtId="173" fontId="23" fillId="0" borderId="11" applyAlignment="1" pivotButton="0" quotePrefix="0" xfId="0">
      <alignment horizontal="center" vertical="center"/>
    </xf>
    <xf numFmtId="3" fontId="23" fillId="18" borderId="11" applyAlignment="1" pivotButton="0" quotePrefix="0" xfId="0">
      <alignment horizontal="center" vertical="center"/>
    </xf>
    <xf numFmtId="2" fontId="23" fillId="18" borderId="11" applyAlignment="1" pivotButton="0" quotePrefix="0" xfId="0">
      <alignment horizontal="center" vertical="center"/>
    </xf>
    <xf numFmtId="173" fontId="23" fillId="18" borderId="11" applyAlignment="1" pivotButton="0" quotePrefix="0" xfId="0">
      <alignment horizontal="center" vertical="center"/>
    </xf>
    <xf numFmtId="169" fontId="23" fillId="18" borderId="1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57575"/>
      <rgbColor rgb="FF9999FF"/>
      <rgbColor rgb="FFC0504D"/>
      <rgbColor rgb="FFFFF2CC"/>
      <rgbColor rgb="FFEAF3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D9EAD3"/>
      <rgbColor rgb="FFD9E2F3"/>
      <rgbColor rgb="FFFF99CC"/>
      <rgbColor rgb="FFCC99FF"/>
      <rgbColor rgb="FFFCE4D6"/>
      <rgbColor rgb="FF2E75B6"/>
      <rgbColor rgb="FF33CCCC"/>
      <rgbColor rgb="FF70AD47"/>
      <rgbColor rgb="FFFFCC00"/>
      <rgbColor rgb="FFFF9900"/>
      <rgbColor rgb="FFFF6600"/>
      <rgbColor rgb="FF666666"/>
      <rgbColor rgb="FFB7B7B7"/>
      <rgbColor rgb="FF1F3864"/>
      <rgbColor rgb="FF4F81BD"/>
      <rgbColor rgb="FF003300"/>
      <rgbColor rgb="FF333300"/>
      <rgbColor rgb="FF993300"/>
      <rgbColor rgb="FF993366"/>
      <rgbColor rgb="FF59595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Test macro F1 vs share sent to RAD-DINO</a:t>
            </a:r>
          </a:p>
        </c:rich>
      </c:tx>
      <c:overlay val="0"/>
      <c:spPr>
        <a:noFill/>
        <a:ln w="0">
          <a:noFill/>
        </a:ln>
      </c:spPr>
    </c:title>
    <c:autoTitleDeleted val="0"/>
    <c:plotArea>
      <c:scatterChart>
        <c:scatterStyle val="lineMarker"/>
        <c:varyColors val="0"/>
        <c:ser>
          <c:idx val="0"/>
          <c:order val="0"/>
          <c:tx>
            <c:strRef>
              <c:f>"Stage 2 = RAD-DINO"</c:f>
              <c:strCache>
                <c:ptCount val="1"/>
                <c:pt idx="0">
                  <c:v>Stage 2 = RAD-DINO</c:v>
                </c:pt>
              </c:strCache>
            </c:strRef>
          </c:tx>
          <c:spPr>
            <a:solidFill>
              <a:srgbClr val="2e75b6"/>
            </a:solidFill>
            <a:ln w="19080">
              <a:noFill/>
            </a:ln>
          </c:spPr>
          <c:marker>
            <c:symbol val="circle"/>
            <c:size val="7"/>
            <c:spPr>
              <a:solidFill>
                <a:srgbClr val="2e75b6"/>
              </a:solidFill>
            </c:spPr>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'5. Two-Stage Cascade'!$D$17:$D$21</c:f>
              <c:numCache>
                <c:formatCode>0.0%</c:formatCode>
                <c:ptCount val="5"/>
                <c:pt idx="0">
                  <c:v>0.569151429910924</c:v>
                </c:pt>
                <c:pt idx="1">
                  <c:v>0.775668073136428</c:v>
                </c:pt>
                <c:pt idx="2">
                  <c:v>0.932762931708079</c:v>
                </c:pt>
                <c:pt idx="3">
                  <c:v>0.982731676824504</c:v>
                </c:pt>
                <c:pt idx="4">
                  <c:v>0.9985935302391</c:v>
                </c:pt>
              </c:numCache>
            </c:numRef>
          </c:xVal>
          <c:yVal>
            <c:numRef>
              <c:f>'5. Two-Stage Cascade'!$H$17:$H$21</c:f>
              <c:numCache>
                <c:formatCode>0.0000</c:formatCode>
                <c:ptCount val="5"/>
                <c:pt idx="0">
                  <c:v>0.34715892642327</c:v>
                </c:pt>
                <c:pt idx="1">
                  <c:v>0.370882366098188</c:v>
                </c:pt>
                <c:pt idx="2">
                  <c:v>0.379397224097022</c:v>
                </c:pt>
                <c:pt idx="3">
                  <c:v>0.379450041335468</c:v>
                </c:pt>
                <c:pt idx="4">
                  <c:v>0.378799684026058</c:v>
                </c:pt>
              </c:numCache>
            </c:numRef>
          </c:yVal>
          <c:smooth val="1"/>
        </c:ser>
        <c:ser>
          <c:idx val="1"/>
          <c:order val="1"/>
          <c:tx>
            <c:strRef>
              <c:f>"Stage 2 = average"</c:f>
              <c:strCache>
                <c:ptCount val="1"/>
                <c:pt idx="0">
                  <c:v>Stage 2 = average</c:v>
                </c:pt>
              </c:strCache>
            </c:strRef>
          </c:tx>
          <c:spPr>
            <a:solidFill>
              <a:srgbClr val="70ad47"/>
            </a:solidFill>
            <a:ln w="19080">
              <a:noFill/>
            </a:ln>
          </c:spPr>
          <c:marker>
            <c:symbol val="circle"/>
            <c:size val="7"/>
            <c:spPr>
              <a:solidFill>
                <a:srgbClr val="70ad47"/>
              </a:solidFill>
            </c:spPr>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'5. Two-Stage Cascade'!$D$26:$D$30</c:f>
              <c:numCache>
                <c:formatCode>0.0%</c:formatCode>
                <c:ptCount val="5"/>
                <c:pt idx="0">
                  <c:v>0.569151429910924</c:v>
                </c:pt>
                <c:pt idx="1">
                  <c:v>0.775668073136428</c:v>
                </c:pt>
                <c:pt idx="2">
                  <c:v>0.932762931708079</c:v>
                </c:pt>
                <c:pt idx="3">
                  <c:v>0.982731676824504</c:v>
                </c:pt>
                <c:pt idx="4">
                  <c:v>0.9985935302391</c:v>
                </c:pt>
              </c:numCache>
            </c:numRef>
          </c:xVal>
          <c:yVal>
            <c:numRef>
              <c:f>'5. Two-Stage Cascade'!$H$26:$H$30</c:f>
              <c:numCache>
                <c:formatCode>0.0000</c:formatCode>
                <c:ptCount val="5"/>
                <c:pt idx="0">
                  <c:v>0.351862137244855</c:v>
                </c:pt>
                <c:pt idx="1">
                  <c:v>0.375193553034166</c:v>
                </c:pt>
                <c:pt idx="2">
                  <c:v>0.381959042325372</c:v>
                </c:pt>
                <c:pt idx="3">
                  <c:v>0.383243955878052</c:v>
                </c:pt>
                <c:pt idx="4">
                  <c:v>0.381789772742632</c:v>
                </c:pt>
              </c:numCache>
            </c:numRef>
          </c:yVal>
          <c:smooth val="1"/>
        </c:ser>
        <c:axId val="457356"/>
        <c:axId val="88789035"/>
      </c:scatterChart>
      <c:valAx>
        <c:axId val="457356"/>
        <c:scaling>
          <c:orientation val="minMax"/>
        </c:scaling>
        <c:delete val="0"/>
        <c:axPos val="b"/>
        <c:majorGridlines>
          <c:spPr>
            <a:ln w="6480">
              <a:solidFill>
                <a:srgbClr val="b7b7b7"/>
              </a:solidFill>
              <a:round/>
            </a:ln>
          </c:spPr>
        </c:majorGridlines>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Share of test images sent to RAD-DINO</a:t>
                </a:r>
              </a:p>
            </c:rich>
          </c:tx>
          <c:overlay val="0"/>
          <c:spPr>
            <a:noFill/>
            <a:ln w="0">
              <a:noFill/>
            </a:ln>
          </c:spPr>
        </c:title>
        <c:numFmt formatCode="0%"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88789035"/>
        <c:crosses val="autoZero"/>
        <c:crossBetween val="midCat"/>
      </c:valAx>
      <c:valAx>
        <c:axId val="88789035"/>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Macro F1 (test)</a:t>
                </a:r>
              </a:p>
            </c:rich>
          </c:tx>
          <c:overlay val="0"/>
          <c:spPr>
            <a:noFill/>
            <a:ln w="0">
              <a:noFill/>
            </a:ln>
          </c:spPr>
        </c:title>
        <c:numFmt formatCode="0.00"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457356"/>
        <c:crosses val="autoZero"/>
        <c:crossBetween val="midCat"/>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757575"/>
                </a:solidFill>
                <a:latin typeface="Calibri"/>
                <a:ea typeface="Calibri"/>
              </a:defRPr>
            </a:pPr>
            <a:r>
              <a:rPr b="1" sz="1800" spc="-1" strike="noStrike">
                <a:solidFill>
                  <a:srgbClr val="757575"/>
                </a:solidFill>
                <a:latin typeface="Calibri"/>
                <a:ea typeface="Calibri"/>
              </a:rPr>
              <a:t>Share sent to RAD-DINO: validation vs test (flat gates)</a:t>
            </a:r>
          </a:p>
        </c:rich>
      </c:tx>
      <c:overlay val="0"/>
      <c:spPr>
        <a:noFill/>
        <a:ln w="0">
          <a:noFill/>
        </a:ln>
      </c:spPr>
    </c:title>
    <c:autoTitleDeleted val="0"/>
    <c:plotArea>
      <c:barChart>
        <c:barDir val="col"/>
        <c:grouping val="clustered"/>
        <c:varyColors val="0"/>
        <c:ser>
          <c:idx val="0"/>
          <c:order val="0"/>
          <c:tx>
            <c:strRef>
              <c:f>"Validation"</c:f>
              <c:strCache>
                <c:ptCount val="1"/>
                <c:pt idx="0">
                  <c:v>Validation</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Two-Stage Cascade'!$B$17:$B$21</c:f>
              <c:strCache>
                <c:ptCount val="5"/>
                <c:pt idx="0">
                  <c:v>flat t=0.70</c:v>
                </c:pt>
                <c:pt idx="1">
                  <c:v>flat t=0.80</c:v>
                </c:pt>
                <c:pt idx="2">
                  <c:v>flat t=0.90</c:v>
                </c:pt>
                <c:pt idx="3">
                  <c:v>flat t=0.95</c:v>
                </c:pt>
                <c:pt idx="4">
                  <c:v>flat t=0.98</c:v>
                </c:pt>
              </c:strCache>
            </c:strRef>
          </c:cat>
          <c:val>
            <c:numRef>
              <c:f>'5. Two-Stage Cascade'!$C$17:$C$21</c:f>
              <c:numCache>
                <c:formatCode>0.0%</c:formatCode>
                <c:ptCount val="5"/>
                <c:pt idx="0">
                  <c:v>0.273080583756345</c:v>
                </c:pt>
                <c:pt idx="1">
                  <c:v>0.444796954314721</c:v>
                </c:pt>
                <c:pt idx="2">
                  <c:v>0.731361040609137</c:v>
                </c:pt>
                <c:pt idx="3">
                  <c:v>0.90696383248731</c:v>
                </c:pt>
                <c:pt idx="4">
                  <c:v>0.991116751269036</c:v>
                </c:pt>
              </c:numCache>
            </c:numRef>
          </c:val>
        </c:ser>
        <c:ser>
          <c:idx val="1"/>
          <c:order val="1"/>
          <c:tx>
            <c:strRef>
              <c:f>"Test"</c:f>
              <c:strCache>
                <c:ptCount val="1"/>
                <c:pt idx="0">
                  <c:v>Test</c:v>
                </c:pt>
              </c:strCache>
            </c:strRef>
          </c:tx>
          <c:spPr>
            <a:solidFill>
              <a:srgbClr val="c0504d"/>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Two-Stage Cascade'!$B$17:$B$21</c:f>
              <c:strCache>
                <c:ptCount val="5"/>
                <c:pt idx="0">
                  <c:v>flat t=0.70</c:v>
                </c:pt>
                <c:pt idx="1">
                  <c:v>flat t=0.80</c:v>
                </c:pt>
                <c:pt idx="2">
                  <c:v>flat t=0.90</c:v>
                </c:pt>
                <c:pt idx="3">
                  <c:v>flat t=0.95</c:v>
                </c:pt>
                <c:pt idx="4">
                  <c:v>flat t=0.98</c:v>
                </c:pt>
              </c:strCache>
            </c:strRef>
          </c:cat>
          <c:val>
            <c:numRef>
              <c:f>'5. Two-Stage Cascade'!$D$17:$D$21</c:f>
              <c:numCache>
                <c:formatCode>0.0%</c:formatCode>
                <c:ptCount val="5"/>
                <c:pt idx="0">
                  <c:v>0.569151429910924</c:v>
                </c:pt>
                <c:pt idx="1">
                  <c:v>0.775668073136428</c:v>
                </c:pt>
                <c:pt idx="2">
                  <c:v>0.932762931708079</c:v>
                </c:pt>
                <c:pt idx="3">
                  <c:v>0.982731676824504</c:v>
                </c:pt>
                <c:pt idx="4">
                  <c:v>0.9985935302391</c:v>
                </c:pt>
              </c:numCache>
            </c:numRef>
          </c:val>
        </c:ser>
        <c:gapWidth val="150"/>
        <c:overlap val="0"/>
        <c:axId val="56246318"/>
        <c:axId val="69634425"/>
      </c:barChart>
      <c:catAx>
        <c:axId val="56246318"/>
        <c:scaling>
          <c:orientation val="minMax"/>
        </c:scaling>
        <c:delete val="0"/>
        <c:axPos val="b"/>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Gate</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69634425"/>
        <c:crosses val="autoZero"/>
        <c:auto val="1"/>
        <c:lblAlgn val="ctr"/>
        <c:lblOffset val="100"/>
        <c:noMultiLvlLbl val="0"/>
      </c:catAx>
      <c:valAx>
        <c:axId val="69634425"/>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Share of images</a:t>
                </a:r>
              </a:p>
            </c:rich>
          </c:tx>
          <c:overlay val="0"/>
          <c:spPr>
            <a:noFill/>
            <a:ln w="0">
              <a:noFill/>
            </a:ln>
          </c:spPr>
        </c:title>
        <c:numFmt formatCode="0%"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56246318"/>
        <c:crosses val="autoZero"/>
        <c:crossBetween val="between"/>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13</col>
      <colOff>0</colOff>
      <row>15</row>
      <rowOff>0</rowOff>
    </from>
    <to>
      <col>21</col>
      <colOff>477720</colOff>
      <row>26</row>
      <rowOff>161280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13</col>
      <colOff>0</colOff>
      <row>31</row>
      <rowOff>0</rowOff>
    </from>
    <to>
      <col>21</col>
      <colOff>477720</colOff>
      <row>42</row>
      <rowOff>18360</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30" customWidth="1" style="64" min="1" max="1"/>
    <col width="110" customWidth="1" style="64" min="2" max="2"/>
    <col width="8.710000000000001" customWidth="1" style="64" min="3" max="26"/>
  </cols>
  <sheetData>
    <row r="1" ht="24" customHeight="1" s="65">
      <c r="A1" s="66" t="inlineStr">
        <is>
          <t>Chest X-ray Multi-Label Classification: Research Results</t>
        </is>
      </c>
    </row>
    <row r="2" ht="30" customHeight="1" s="65">
      <c r="A2" s="67" t="inlineStr">
        <is>
          <t>Cascade results (sheets 4–5) and the distillation follow-up (sheet 7) use the official NIH ChestX-ray14 split, one training seed (42), no test-time augmentation. Updated 2026-09-25 (results_s42, results_distill).</t>
        </is>
      </c>
    </row>
    <row r="3" ht="42" customHeight="1" s="65">
      <c r="A3" s="68" t="inlineStr">
        <is>
          <t>Two different test sets are in this workbook. Team models (sheet 3) were tested on a random patient split (15,917 images). The cascade models (sheets 4–5) were tested on the official NIH test list (25,596 images), which is harder. Never compare numbers across the two.</t>
        </is>
      </c>
    </row>
    <row r="5" ht="30" customHeight="1" s="65">
      <c r="A5" s="69" t="inlineStr">
        <is>
          <t>Sheet</t>
        </is>
      </c>
      <c r="B5" s="69" t="inlineStr">
        <is>
          <t>What it contains</t>
        </is>
      </c>
    </row>
    <row r="6" ht="15" customHeight="1" s="65">
      <c r="A6" s="70" t="inlineStr">
        <is>
          <t>1. Dataset</t>
        </is>
      </c>
      <c r="B6" s="71" t="inlineStr">
        <is>
          <t>Dataset overview, disease counts and prevalence, split sizes, and how the official test set differs from train/validation.</t>
        </is>
      </c>
    </row>
    <row r="7" ht="15" customHeight="1" s="65">
      <c r="A7" s="70" t="inlineStr">
        <is>
          <t>2. Model Details</t>
        </is>
      </c>
      <c r="B7" s="71" t="inlineStr">
        <is>
          <t>Architecture and training setup for the 7 team models (random split) and the 2 cascade models (official split, seed 42).</t>
        </is>
      </c>
    </row>
    <row r="8" ht="23.25" customHeight="1" s="65">
      <c r="A8" s="70" t="inlineStr">
        <is>
          <t>3. Team Models (random split)</t>
        </is>
      </c>
      <c r="B8" s="71" t="inlineStr">
        <is>
          <t>Condensed benchmark of the 7 team models on their own random split: headline metrics, per-disease AUROC / F1 / precision / recall, key findings.</t>
        </is>
      </c>
    </row>
    <row r="9" ht="23.25" customHeight="1" s="65">
      <c r="A9" s="70" t="inlineStr">
        <is>
          <t>4. Official Split Results</t>
        </is>
      </c>
      <c r="B9" s="71" t="inlineStr">
        <is>
          <t>Final seed-42 results on the official test set: CNN, RAD-DINO, their average and the cascade, with 95% CIs, significance tests, per-disease results and training logs.</t>
        </is>
      </c>
    </row>
    <row r="10" ht="23.25" customHeight="1" s="65">
      <c r="A10" s="70" t="inlineStr">
        <is>
          <t>5. Two-Stage Cascade</t>
        </is>
      </c>
      <c r="B10" s="71" t="inlineStr">
        <is>
          <t>How the cascade works, the gate sweep, per-image vs per-finding routing, real compute cost (live formulas), which diseases the CNN decides, and the findings.</t>
        </is>
      </c>
    </row>
    <row r="11" ht="23.25" customHeight="1" s="65">
      <c r="A11" s="70" t="inlineStr">
        <is>
          <t>6. Two-Stage (Random Split)</t>
        </is>
      </c>
      <c r="B11" s="71" t="inlineStr">
        <is>
          <t>Restored 2026-09-25 at user request: the cascade experiment on its own random 70/15/15 split (16,724 test images), previously removed from this workbook. Kept separate from sheet 5 (official split) -- do not compare the two.</t>
        </is>
      </c>
    </row>
    <row r="12" ht="42" customHeight="1" s="65">
      <c r="A12" s="72" t="inlineStr">
        <is>
          <t>7. Distillation</t>
        </is>
      </c>
      <c r="B12" s="73" t="inlineStr">
        <is>
          <t>Follow-up to the cascade (added 2026-09-25): a ConvNeXt-Tiny trained on the soft predictions of the CNN + RAD-DINO average. Go/no-go check, training curve, test results with CIs, paired tests, outcome against the pre-registered rules, gap closed, per-finding AUROC, silent misses, and accuracy vs cost for all systems.</t>
        </is>
      </c>
    </row>
    <row r="13" ht="15" customHeight="1" s="65">
      <c r="A13" s="74" t="inlineStr">
        <is>
          <t>Removed on 2026-09-24: the earlier cascade experiment on a random 70/15/15 split (test 16,724 images; old sheets 7–8 and its rows/columns elsewhere), and the 3-seed / TTA tables of the official split. The previous file is kept in _archive/.</t>
        </is>
      </c>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3">
    <mergeCell ref="A3:B3"/>
    <mergeCell ref="A2:B2"/>
    <mergeCell ref="A1:B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3359375" defaultRowHeight="15" zeroHeight="0" outlineLevelRow="0"/>
  <cols>
    <col width="22" customWidth="1" style="64" min="1" max="1"/>
    <col width="16" customWidth="1" style="64" min="2" max="5"/>
    <col width="18" customWidth="1" style="64" min="6" max="8"/>
    <col width="40" customWidth="1" style="64" min="9" max="9"/>
    <col width="8.710000000000001" customWidth="1" style="64" min="10" max="26"/>
  </cols>
  <sheetData>
    <row r="1" ht="24" customHeight="1" s="65">
      <c r="A1" s="66" t="inlineStr">
        <is>
          <t>1. Dataset</t>
        </is>
      </c>
    </row>
    <row r="2" ht="30" customHeight="1" s="65">
      <c r="A2" s="67" t="inlineStr">
        <is>
          <t>NIH ChestX-ray14. Official split = official test list; validation = 15% of the train_val patients (seed 42); train = the rest. Source: T1_dataset_characteristics.csv (split_sha256 b9f2fbc9…).</t>
        </is>
      </c>
    </row>
    <row r="4" ht="15" customHeight="1" s="65">
      <c r="A4" s="75" t="inlineStr">
        <is>
          <t>A. Dataset overview</t>
        </is>
      </c>
      <c r="B4" s="76" t="n"/>
      <c r="C4" s="76" t="n"/>
      <c r="D4" s="76" t="n"/>
      <c r="E4" s="76" t="n"/>
      <c r="F4" s="76" t="n"/>
      <c r="G4" s="76" t="n"/>
      <c r="H4" s="76" t="n"/>
      <c r="I4" s="76" t="n"/>
    </row>
    <row r="5" ht="30" customHeight="1" s="65">
      <c r="A5" s="69" t="inlineStr">
        <is>
          <t>Dataset</t>
        </is>
      </c>
      <c r="B5" s="69" t="inlineStr">
        <is>
          <t>Modality</t>
        </is>
      </c>
      <c r="C5" s="69" t="inlineStr">
        <is>
          <t>Task</t>
        </is>
      </c>
      <c r="D5" s="69" t="inlineStr">
        <is>
          <t># Diseases (labels)</t>
        </is>
      </c>
      <c r="E5" s="69" t="inlineStr">
        <is>
          <t>Total images</t>
        </is>
      </c>
      <c r="F5" s="69" t="inlineStr">
        <is>
          <t>Total patients</t>
        </is>
      </c>
      <c r="G5" s="69" t="inlineStr">
        <is>
          <t>Label source</t>
        </is>
      </c>
      <c r="H5" s="69" t="n"/>
      <c r="I5" s="69" t="inlineStr">
        <is>
          <t>Notes</t>
        </is>
      </c>
    </row>
    <row r="6" ht="45" customHeight="1" s="65">
      <c r="A6" s="77" t="inlineStr">
        <is>
          <t>NIH ChestX-ray14</t>
        </is>
      </c>
      <c r="B6" s="77" t="inlineStr">
        <is>
          <t>Chest X-ray</t>
        </is>
      </c>
      <c r="C6" s="71" t="inlineStr">
        <is>
          <t>Multi-label classification</t>
        </is>
      </c>
      <c r="D6" s="78" t="n">
        <v>14</v>
      </c>
      <c r="E6" s="79" t="n">
        <v>112120</v>
      </c>
      <c r="F6" s="79" t="n">
        <v>30805</v>
      </c>
      <c r="G6" s="71" t="inlineStr">
        <is>
          <t>Text-mined from radiology reports (not verified against images, so labels are noisy)</t>
        </is>
      </c>
      <c r="H6" s="80" t="n"/>
      <c r="I6" s="71" t="inlineStr">
        <is>
          <t>Several X-rays can come from one patient, so splits must be patient-level to avoid leakage.</t>
        </is>
      </c>
    </row>
    <row r="8" ht="15" customHeight="1" s="65">
      <c r="A8" s="75" t="inlineStr">
        <is>
          <t>B. Split sizes</t>
        </is>
      </c>
      <c r="B8" s="76" t="n"/>
      <c r="C8" s="76" t="n"/>
      <c r="D8" s="76" t="n"/>
      <c r="E8" s="76" t="n"/>
      <c r="F8" s="76" t="n"/>
      <c r="G8" s="76" t="n"/>
      <c r="H8" s="76" t="n"/>
      <c r="I8" s="76" t="n"/>
    </row>
    <row r="9" ht="30" customHeight="1" s="65">
      <c r="A9" s="69" t="inlineStr">
        <is>
          <t>Split</t>
        </is>
      </c>
      <c r="B9" s="69" t="inlineStr">
        <is>
          <t>Used by</t>
        </is>
      </c>
      <c r="C9" s="69" t="inlineStr">
        <is>
          <t>Train images</t>
        </is>
      </c>
      <c r="D9" s="69" t="inlineStr">
        <is>
          <t>Val images</t>
        </is>
      </c>
      <c r="E9" s="69" t="inlineStr">
        <is>
          <t>Test images</t>
        </is>
      </c>
      <c r="F9" s="69" t="inlineStr">
        <is>
          <t>Train patients</t>
        </is>
      </c>
      <c r="G9" s="69" t="inlineStr">
        <is>
          <t>Val patients</t>
        </is>
      </c>
      <c r="H9" s="69" t="inlineStr">
        <is>
          <t>Test patients</t>
        </is>
      </c>
      <c r="I9" s="69" t="inlineStr">
        <is>
          <t>Notes</t>
        </is>
      </c>
    </row>
    <row r="10" ht="23.25" customHeight="1" s="65">
      <c r="A10" s="77" t="inlineStr">
        <is>
          <t>Official NIH split</t>
        </is>
      </c>
      <c r="B10" s="71" t="inlineStr">
        <is>
          <t>Cascade models (sheets 4–5)</t>
        </is>
      </c>
      <c r="C10" s="79" t="n">
        <v>73916</v>
      </c>
      <c r="D10" s="79" t="n">
        <v>12608</v>
      </c>
      <c r="E10" s="79" t="n">
        <v>25596</v>
      </c>
      <c r="F10" s="79" t="n">
        <v>23806</v>
      </c>
      <c r="G10" s="79" t="n">
        <v>4202</v>
      </c>
      <c r="H10" s="79" t="n">
        <v>2797</v>
      </c>
      <c r="I10" s="71" t="inlineStr">
        <is>
          <t>Test = official test_list.txt. Patient-level, no overlap.</t>
        </is>
      </c>
    </row>
    <row r="11" ht="23.25" customHeight="1" s="65">
      <c r="A11" s="77" t="inlineStr">
        <is>
          <t>Random patient split</t>
        </is>
      </c>
      <c r="B11" s="71" t="inlineStr">
        <is>
          <t>Team models (sheet 3)</t>
        </is>
      </c>
      <c r="C11" s="79" t="n">
        <v>78596</v>
      </c>
      <c r="D11" s="79" t="n">
        <v>17591</v>
      </c>
      <c r="E11" s="79" t="n">
        <v>15917</v>
      </c>
      <c r="F11" s="77" t="inlineStr">
        <is>
          <t>n/r</t>
        </is>
      </c>
      <c r="G11" s="77" t="inlineStr">
        <is>
          <t>n/r</t>
        </is>
      </c>
      <c r="H11" s="77" t="inlineStr">
        <is>
          <t>n/r</t>
        </is>
      </c>
      <c r="I11" s="71" t="inlineStr">
        <is>
          <t>Split method not documented; 16 of 112,120 images unaccounted for.</t>
        </is>
      </c>
    </row>
    <row r="13" ht="15" customHeight="1" s="65">
      <c r="A13" s="75" t="inlineStr">
        <is>
          <t>C. Official split: how the test set differs from train and validation</t>
        </is>
      </c>
      <c r="B13" s="76" t="n"/>
      <c r="C13" s="76" t="n"/>
      <c r="D13" s="76" t="n"/>
      <c r="E13" s="76" t="n"/>
      <c r="F13" s="76" t="n"/>
      <c r="G13" s="76" t="n"/>
      <c r="H13" s="76" t="n"/>
      <c r="I13" s="76" t="n"/>
    </row>
    <row r="14" ht="30" customHeight="1" s="65">
      <c r="A14" s="69" t="inlineStr">
        <is>
          <t>Characteristic</t>
        </is>
      </c>
      <c r="B14" s="69" t="inlineStr">
        <is>
          <t>Train</t>
        </is>
      </c>
      <c r="C14" s="69" t="inlineStr">
        <is>
          <t>Validation</t>
        </is>
      </c>
      <c r="D14" s="69" t="inlineStr">
        <is>
          <t>Test</t>
        </is>
      </c>
      <c r="E14" s="69" t="inlineStr">
        <is>
          <t>Test ÷ validation</t>
        </is>
      </c>
      <c r="F14" s="69" t="n"/>
      <c r="G14" s="69" t="n"/>
      <c r="H14" s="69" t="n"/>
      <c r="I14" s="69" t="inlineStr">
        <is>
          <t>Comment</t>
        </is>
      </c>
    </row>
    <row r="15" ht="15" customHeight="1" s="65">
      <c r="A15" s="77" t="inlineStr">
        <is>
          <t>Images</t>
        </is>
      </c>
      <c r="B15" s="79" t="n">
        <v>73916</v>
      </c>
      <c r="C15" s="79" t="n">
        <v>12608</v>
      </c>
      <c r="D15" s="79" t="n">
        <v>25596</v>
      </c>
      <c r="E15" s="81" t="n"/>
      <c r="F15" s="82" t="n"/>
      <c r="G15" s="82" t="n"/>
      <c r="H15" s="80" t="n"/>
      <c r="I15" s="71" t="n"/>
    </row>
    <row r="16" ht="15" customHeight="1" s="65">
      <c r="A16" s="77" t="inlineStr">
        <is>
          <t>Patients</t>
        </is>
      </c>
      <c r="B16" s="79" t="n">
        <v>23806</v>
      </c>
      <c r="C16" s="79" t="n">
        <v>4202</v>
      </c>
      <c r="D16" s="79" t="n">
        <v>2797</v>
      </c>
      <c r="E16" s="81" t="n"/>
      <c r="F16" s="82" t="n"/>
      <c r="G16" s="82" t="n"/>
      <c r="H16" s="80" t="n"/>
      <c r="I16" s="71" t="n"/>
    </row>
    <row r="17" ht="23.25" customHeight="1" s="65">
      <c r="A17" s="77" t="inlineStr">
        <is>
          <t>Images per patient</t>
        </is>
      </c>
      <c r="B17" s="83" t="n">
        <v>3.10493152986642</v>
      </c>
      <c r="C17" s="83" t="n">
        <v>3.00047596382675</v>
      </c>
      <c r="D17" s="83" t="n">
        <v>9.15123346442617</v>
      </c>
      <c r="E17" s="84">
        <f>D17/C17</f>
        <v>3.04992726979051</v>
      </c>
      <c r="F17" s="82" t="n"/>
      <c r="G17" s="82" t="n"/>
      <c r="H17" s="80" t="n"/>
      <c r="I17" s="71" t="inlineStr">
        <is>
          <t>Test patients have many follow-up films (sicker, repeatedly imaged).</t>
        </is>
      </c>
    </row>
    <row r="18" ht="15" customHeight="1" s="65">
      <c r="A18" s="77" t="inlineStr">
        <is>
          <t>Findings per image</t>
        </is>
      </c>
      <c r="B18" s="83" t="n">
        <v>0.62554795</v>
      </c>
      <c r="C18" s="83" t="n">
        <v>0.6132614</v>
      </c>
      <c r="D18" s="83" t="n">
        <v>1.0629004</v>
      </c>
      <c r="E18" s="84">
        <f>D18/C18</f>
        <v>1.73319305601168</v>
      </c>
      <c r="F18" s="82" t="n"/>
      <c r="G18" s="82" t="n"/>
      <c r="H18" s="80" t="n"/>
      <c r="I18" s="71" t="inlineStr">
        <is>
          <t>Test images carry ~1.7x more findings.</t>
        </is>
      </c>
    </row>
    <row r="19" ht="15" customHeight="1" s="65">
      <c r="A19" s="77" t="inlineStr">
        <is>
          <t>All-negative images</t>
        </is>
      </c>
      <c r="B19" s="79" t="n">
        <v>43075</v>
      </c>
      <c r="C19" s="79" t="n">
        <v>7425</v>
      </c>
      <c r="D19" s="79" t="n">
        <v>9861</v>
      </c>
      <c r="E19" s="81" t="n"/>
      <c r="F19" s="82" t="n"/>
      <c r="G19" s="82" t="n"/>
      <c r="H19" s="80" t="n"/>
      <c r="I19" s="71" t="n"/>
    </row>
    <row r="20" ht="15" customHeight="1" s="65">
      <c r="A20" s="77" t="inlineStr">
        <is>
          <t>PA (standing) view share</t>
        </is>
      </c>
      <c r="B20" s="85" t="n">
        <v>0.648601114778938</v>
      </c>
      <c r="C20" s="85" t="n">
        <v>0.656091370558376</v>
      </c>
      <c r="D20" s="85" t="n">
        <v>0.433505235192999</v>
      </c>
      <c r="E20" s="84">
        <f>D20/C20</f>
        <v>0.660739120564958</v>
      </c>
      <c r="F20" s="82" t="n"/>
      <c r="G20" s="82" t="n"/>
      <c r="H20" s="80" t="n"/>
      <c r="I20" s="71" t="inlineStr">
        <is>
          <t>More AP (bedside) films in test.</t>
        </is>
      </c>
    </row>
    <row r="21" ht="15.75" customHeight="1" s="65">
      <c r="A21" s="77" t="inlineStr">
        <is>
          <t>Male share</t>
        </is>
      </c>
      <c r="B21" s="85" t="n">
        <v>0.562232804805455</v>
      </c>
      <c r="C21" s="85" t="n">
        <v>0.547271573604061</v>
      </c>
      <c r="D21" s="85" t="n">
        <v>0.58141897171433</v>
      </c>
      <c r="E21" s="84">
        <f>D21/C21</f>
        <v>1.06239570947453</v>
      </c>
      <c r="F21" s="82" t="n"/>
      <c r="G21" s="82" t="n"/>
      <c r="H21" s="80" t="n"/>
      <c r="I21" s="71" t="n"/>
    </row>
    <row r="22" ht="15.75" customHeight="1" s="65">
      <c r="A22" s="77" t="inlineStr">
        <is>
          <t>Median age</t>
        </is>
      </c>
      <c r="B22" s="86" t="n">
        <v>49</v>
      </c>
      <c r="C22" s="86" t="n">
        <v>49</v>
      </c>
      <c r="D22" s="86" t="n">
        <v>49</v>
      </c>
      <c r="E22" s="84">
        <f>D22/C22</f>
        <v>1</v>
      </c>
      <c r="F22" s="82" t="n"/>
      <c r="G22" s="82" t="n"/>
      <c r="H22" s="80" t="n"/>
      <c r="I22" s="71" t="n"/>
    </row>
    <row r="23" ht="39" customHeight="1" s="65">
      <c r="A23" s="67" t="inlineStr">
        <is>
          <t>Because of this shift, results tuned on validation (thresholds, the cascade gate) behave differently on test. It is the main reason the cascade saves little compute on the official test set (sheet 5).</t>
        </is>
      </c>
    </row>
    <row r="24" ht="15.75" customHeight="1" s="65"/>
    <row r="25" ht="15.75" customHeight="1" s="65">
      <c r="A25" s="75" t="inlineStr">
        <is>
          <t>D. Diseases: positives and prevalence</t>
        </is>
      </c>
      <c r="B25" s="76" t="n"/>
      <c r="C25" s="76" t="n"/>
      <c r="D25" s="76" t="n"/>
      <c r="E25" s="76" t="n"/>
      <c r="F25" s="76" t="n"/>
      <c r="G25" s="76" t="n"/>
      <c r="H25" s="76" t="n"/>
      <c r="I25" s="76" t="n"/>
    </row>
    <row r="26" ht="45" customHeight="1" s="65">
      <c r="A26" s="69" t="inlineStr">
        <is>
          <t>Disease</t>
        </is>
      </c>
      <c r="B26" s="69" t="inlineStr">
        <is>
          <t>Train prevalence</t>
        </is>
      </c>
      <c r="C26" s="69" t="inlineStr">
        <is>
          <t>Validation prevalence</t>
        </is>
      </c>
      <c r="D26" s="69" t="inlineStr">
        <is>
          <t>Official test positives</t>
        </is>
      </c>
      <c r="E26" s="69" t="inlineStr">
        <is>
          <t>Official test prevalence</t>
        </is>
      </c>
      <c r="F26" s="69" t="inlineStr">
        <is>
          <t>Test ÷ validation prevalence</t>
        </is>
      </c>
      <c r="G26" s="69" t="inlineStr">
        <is>
          <t>Team test-set positives (15,917 img)</t>
        </is>
      </c>
      <c r="H26" s="69" t="inlineStr">
        <is>
          <t>Team test-set prevalence</t>
        </is>
      </c>
      <c r="I26" s="69" t="inlineStr">
        <is>
          <t>Comment</t>
        </is>
      </c>
    </row>
    <row r="27" ht="15.75" customHeight="1" s="65">
      <c r="A27" s="77" t="inlineStr">
        <is>
          <t>Infiltration</t>
        </is>
      </c>
      <c r="B27" s="85" t="n">
        <v>0.16035769879818</v>
      </c>
      <c r="C27" s="85" t="n">
        <v>0.152998089790344</v>
      </c>
      <c r="D27" s="79" t="n">
        <v>6112</v>
      </c>
      <c r="E27" s="85" t="n">
        <v>0.238787308335304</v>
      </c>
      <c r="F27" s="87">
        <f>E27/C27</f>
        <v>1.56072084731593</v>
      </c>
      <c r="G27" s="79" t="n">
        <v>2777</v>
      </c>
      <c r="H27" s="85" t="n">
        <v>0.1745</v>
      </c>
      <c r="I27" s="77" t="n"/>
    </row>
    <row r="28" ht="15.75" customHeight="1" s="65">
      <c r="A28" s="77" t="inlineStr">
        <is>
          <t>Effusion</t>
        </is>
      </c>
      <c r="B28" s="85" t="n">
        <v>0.100316576659679</v>
      </c>
      <c r="C28" s="85" t="n">
        <v>0.0986675098538398</v>
      </c>
      <c r="D28" s="79" t="n">
        <v>4658</v>
      </c>
      <c r="E28" s="85" t="n">
        <v>0.181981563568115</v>
      </c>
      <c r="F28" s="87">
        <f>E28/C28</f>
        <v>1.84439197703167</v>
      </c>
      <c r="G28" s="79" t="n">
        <v>1755</v>
      </c>
      <c r="H28" s="85" t="n">
        <v>0.1103</v>
      </c>
      <c r="I28" s="77" t="n"/>
    </row>
    <row r="29" ht="15.75" customHeight="1" s="65">
      <c r="A29" s="77" t="inlineStr">
        <is>
          <t>Atelectasis</t>
        </is>
      </c>
      <c r="B29" s="85" t="n">
        <v>0.0947426781058311</v>
      </c>
      <c r="C29" s="85" t="n">
        <v>0.101284898817539</v>
      </c>
      <c r="D29" s="79" t="n">
        <v>3279</v>
      </c>
      <c r="E29" s="85" t="n">
        <v>0.128105953335762</v>
      </c>
      <c r="F29" s="87">
        <f>E29/C29</f>
        <v>1.26480802993682</v>
      </c>
      <c r="G29" s="79" t="n">
        <v>1685</v>
      </c>
      <c r="H29" s="85" t="n">
        <v>0.1059</v>
      </c>
      <c r="I29" s="77" t="n"/>
    </row>
    <row r="30" ht="15.75" customHeight="1" s="65">
      <c r="A30" s="77" t="inlineStr">
        <is>
          <t>Pneumothorax</t>
        </is>
      </c>
      <c r="B30" s="85" t="n">
        <v>0.0309405270963907</v>
      </c>
      <c r="C30" s="85" t="n">
        <v>0.0277601517736911</v>
      </c>
      <c r="D30" s="79" t="n">
        <v>2665</v>
      </c>
      <c r="E30" s="85" t="n">
        <v>0.104117833077908</v>
      </c>
      <c r="F30" s="87">
        <f>E30/C30</f>
        <v>3.75062189597186</v>
      </c>
      <c r="G30" s="79" t="n">
        <v>703</v>
      </c>
      <c r="H30" s="85" t="n">
        <v>0.0442</v>
      </c>
      <c r="I30" s="77" t="inlineStr">
        <is>
          <t>Largest jump: 3.7x more common in test.</t>
        </is>
      </c>
    </row>
    <row r="31" ht="15.75" customHeight="1" s="65">
      <c r="A31" s="77" t="inlineStr">
        <is>
          <t>Consolidation</t>
        </is>
      </c>
      <c r="B31" s="85" t="n">
        <v>0.0335786566138267</v>
      </c>
      <c r="C31" s="85" t="n">
        <v>0.0293464474380016</v>
      </c>
      <c r="D31" s="79" t="n">
        <v>1815</v>
      </c>
      <c r="E31" s="85" t="n">
        <v>0.07090951502323151</v>
      </c>
      <c r="F31" s="87">
        <f>E31/C31</f>
        <v>2.41628957552827</v>
      </c>
      <c r="G31" s="79" t="n">
        <v>563</v>
      </c>
      <c r="H31" s="85" t="n">
        <v>0.0354</v>
      </c>
      <c r="I31" s="77" t="n"/>
    </row>
    <row r="32" ht="15.75" customHeight="1" s="65">
      <c r="A32" s="77" t="inlineStr">
        <is>
          <t>Mass</t>
        </is>
      </c>
      <c r="B32" s="85" t="n">
        <v>0.0467016622424125</v>
      </c>
      <c r="C32" s="85" t="n">
        <v>0.0461611673235893</v>
      </c>
      <c r="D32" s="79" t="n">
        <v>1748</v>
      </c>
      <c r="E32" s="85" t="n">
        <v>0.0682919174432754</v>
      </c>
      <c r="F32" s="87">
        <f>E32/C32</f>
        <v>1.47942353720281</v>
      </c>
      <c r="G32" s="79" t="n">
        <v>848</v>
      </c>
      <c r="H32" s="85" t="n">
        <v>0.0533</v>
      </c>
      <c r="I32" s="77" t="n"/>
    </row>
    <row r="33" ht="15.75" customHeight="1" s="65">
      <c r="A33" s="77" t="inlineStr">
        <is>
          <t>Nodule</t>
        </is>
      </c>
      <c r="B33" s="85" t="n">
        <v>0.0546836964786052</v>
      </c>
      <c r="C33" s="85" t="n">
        <v>0.0528236031532287</v>
      </c>
      <c r="D33" s="79" t="n">
        <v>1623</v>
      </c>
      <c r="E33" s="85" t="n">
        <v>0.0634083449840545</v>
      </c>
      <c r="F33" s="87">
        <f>E33/C33</f>
        <v>1.20037901996428</v>
      </c>
      <c r="G33" s="79" t="n">
        <v>894</v>
      </c>
      <c r="H33" s="85" t="n">
        <v>0.0562</v>
      </c>
      <c r="I33" s="77" t="n"/>
    </row>
    <row r="34" ht="15.75" customHeight="1" s="65">
      <c r="A34" s="77" t="inlineStr">
        <is>
          <t>Pleural Thickening</t>
        </is>
      </c>
      <c r="B34" s="85" t="n">
        <v>0.0252989884465932</v>
      </c>
      <c r="C34" s="85" t="n">
        <v>0.0295050758868455</v>
      </c>
      <c r="D34" s="79" t="n">
        <v>1143</v>
      </c>
      <c r="E34" s="85" t="n">
        <v>0.0446554161608219</v>
      </c>
      <c r="F34" s="87">
        <f>E34/C34</f>
        <v>1.51348250491133</v>
      </c>
      <c r="G34" s="79" t="n">
        <v>444</v>
      </c>
      <c r="H34" s="85" t="n">
        <v>0.0279</v>
      </c>
      <c r="I34" s="77" t="n"/>
    </row>
    <row r="35" ht="15.75" customHeight="1" s="65">
      <c r="A35" s="77" t="inlineStr">
        <is>
          <t>Emphysema</t>
        </is>
      </c>
      <c r="B35" s="85" t="n">
        <v>0.0172357819974422</v>
      </c>
      <c r="C35" s="85" t="n">
        <v>0.0118178930133581</v>
      </c>
      <c r="D35" s="79" t="n">
        <v>1093</v>
      </c>
      <c r="E35" s="85" t="n">
        <v>0.0427019856870174</v>
      </c>
      <c r="F35" s="87">
        <f>E35/C35</f>
        <v>3.61333324296896</v>
      </c>
      <c r="G35" s="79" t="n">
        <v>351</v>
      </c>
      <c r="H35" s="85" t="n">
        <v>0.0221</v>
      </c>
      <c r="I35" s="77" t="n"/>
    </row>
    <row r="36" ht="15.75" customHeight="1" s="65">
      <c r="A36" s="77" t="inlineStr">
        <is>
          <t>Cardiomegaly</t>
        </is>
      </c>
      <c r="B36" s="85" t="n">
        <v>0.0196574497967958</v>
      </c>
      <c r="C36" s="85" t="n">
        <v>0.0201459396630525</v>
      </c>
      <c r="D36" s="79" t="n">
        <v>1069</v>
      </c>
      <c r="E36" s="85" t="n">
        <v>0.0417643375694751</v>
      </c>
      <c r="F36" s="87">
        <f>E36/C36</f>
        <v>2.07308957874378</v>
      </c>
      <c r="G36" s="79" t="n">
        <v>367</v>
      </c>
      <c r="H36" s="85" t="n">
        <v>0.0231</v>
      </c>
      <c r="I36" s="77" t="n"/>
    </row>
    <row r="37" ht="15.75" customHeight="1" s="65">
      <c r="A37" s="77" t="inlineStr">
        <is>
          <t>Edema</t>
        </is>
      </c>
      <c r="B37" s="85" t="n">
        <v>0.0162481740117073</v>
      </c>
      <c r="C37" s="85" t="n">
        <v>0.0140387052670121</v>
      </c>
      <c r="D37" s="79" t="n">
        <v>925</v>
      </c>
      <c r="E37" s="85" t="n">
        <v>0.0361384600400924</v>
      </c>
      <c r="F37" s="87">
        <f>E37/C37</f>
        <v>2.57420177664175</v>
      </c>
      <c r="G37" s="79" t="n">
        <v>343</v>
      </c>
      <c r="H37" s="85" t="n">
        <v>0.0215</v>
      </c>
      <c r="I37" s="77" t="n"/>
    </row>
    <row r="38" ht="15.75" customHeight="1" s="65">
      <c r="A38" s="77" t="inlineStr">
        <is>
          <t>Pneumonia</t>
        </is>
      </c>
      <c r="B38" s="85" t="n">
        <v>0.0100384224206209</v>
      </c>
      <c r="C38" s="85" t="n">
        <v>0.0106281721964478</v>
      </c>
      <c r="D38" s="79" t="n">
        <v>555</v>
      </c>
      <c r="E38" s="85" t="n">
        <v>0.0216830763965845</v>
      </c>
      <c r="F38" s="87">
        <f>E38/C38</f>
        <v>2.0401510246354</v>
      </c>
      <c r="G38" s="79" t="n">
        <v>210</v>
      </c>
      <c r="H38" s="85" t="n">
        <v>0.0132</v>
      </c>
      <c r="I38" s="77" t="n"/>
    </row>
    <row r="39" ht="15.75" customHeight="1" s="65">
      <c r="A39" s="77" t="inlineStr">
        <is>
          <t>Fibrosis</t>
        </is>
      </c>
      <c r="B39" s="85" t="n">
        <v>0.0142188426107168</v>
      </c>
      <c r="C39" s="85" t="n">
        <v>0.0158629436045885</v>
      </c>
      <c r="D39" s="79" t="n">
        <v>435</v>
      </c>
      <c r="E39" s="85" t="n">
        <v>0.0169948432594537</v>
      </c>
      <c r="F39" s="87">
        <f>E39/C39</f>
        <v>1.07135495675202</v>
      </c>
      <c r="G39" s="79" t="n">
        <v>228</v>
      </c>
      <c r="H39" s="85" t="n">
        <v>0.0143</v>
      </c>
      <c r="I39" s="77" t="n"/>
    </row>
    <row r="40" ht="15.75" customHeight="1" s="65">
      <c r="A40" s="77" t="inlineStr">
        <is>
          <t>Hernia</t>
        </is>
      </c>
      <c r="B40" s="85" t="n">
        <v>0.0015287623973563</v>
      </c>
      <c r="C40" s="85" t="n">
        <v>0.002220812253654</v>
      </c>
      <c r="D40" s="79" t="n">
        <v>86</v>
      </c>
      <c r="E40" s="85" t="n">
        <v>0.0033599000889807</v>
      </c>
      <c r="F40" s="87">
        <f>E40/C40</f>
        <v>1.51291496318633</v>
      </c>
      <c r="G40" s="79" t="n">
        <v>62</v>
      </c>
      <c r="H40" s="85" t="n">
        <v>0.0039</v>
      </c>
      <c r="I40" s="77" t="n"/>
    </row>
    <row r="41" ht="25.5" customHeight="1" s="65">
      <c r="A41" s="67" t="inlineStr">
        <is>
          <t>Prevalence = share of images with the disease. The official test set has higher prevalence for every disease; Pneumothorax and Emphysema are 3–4x more common than in validation.</t>
        </is>
      </c>
    </row>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13">
    <mergeCell ref="A41:I41"/>
    <mergeCell ref="E18:H18"/>
    <mergeCell ref="E17:H17"/>
    <mergeCell ref="A2:I2"/>
    <mergeCell ref="E20:H20"/>
    <mergeCell ref="A1:I1"/>
    <mergeCell ref="E16:H16"/>
    <mergeCell ref="E21:H21"/>
    <mergeCell ref="E15:H15"/>
    <mergeCell ref="A23:I23"/>
    <mergeCell ref="G6:H6"/>
    <mergeCell ref="E19:H19"/>
    <mergeCell ref="E22:H2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Z35"/>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baseColWidth="8" defaultColWidth="14.43359375" defaultRowHeight="15" zeroHeight="0" outlineLevelRow="0"/>
  <cols>
    <col width="28" customWidth="1" style="64" min="1" max="1"/>
    <col width="20" customWidth="1" style="64" min="2" max="8"/>
    <col width="30" customWidth="1" style="64" min="9" max="10"/>
    <col width="8.710000000000001" customWidth="1" style="64" min="11" max="26"/>
  </cols>
  <sheetData>
    <row r="1" ht="24" customHeight="1" s="65">
      <c r="A1" s="66" t="inlineStr">
        <is>
          <t>2. Model Details</t>
        </is>
      </c>
    </row>
    <row r="2" ht="30" customHeight="1" s="65">
      <c r="A2" s="67" t="inlineStr">
        <is>
          <t>Columns B–H: team models (random split, sheet 3). Columns I–J: the two cascade models (official split, seed 42, sheets 4–5). The two groups were trained and tested on different splits.</t>
        </is>
      </c>
    </row>
    <row r="4" ht="15" customHeight="1" s="65">
      <c r="A4" s="75" t="inlineStr">
        <is>
          <t>A. Architecture and training setup</t>
        </is>
      </c>
      <c r="B4" s="76" t="n"/>
      <c r="C4" s="76" t="n"/>
      <c r="D4" s="76" t="n"/>
      <c r="E4" s="76" t="n"/>
      <c r="F4" s="76" t="n"/>
      <c r="G4" s="76" t="n"/>
      <c r="H4" s="76" t="n"/>
      <c r="I4" s="76" t="n"/>
      <c r="J4" s="76" t="n"/>
    </row>
    <row r="5" ht="45" customHeight="1" s="65">
      <c r="A5" s="69" t="inlineStr">
        <is>
          <t>Attribute</t>
        </is>
      </c>
      <c r="B5" s="69" t="inlineStr">
        <is>
          <t>Hasib</t>
        </is>
      </c>
      <c r="C5" s="69" t="inlineStr">
        <is>
          <t>Marjia</t>
        </is>
      </c>
      <c r="D5" s="88" t="inlineStr">
        <is>
          <t>Tanzil</t>
        </is>
      </c>
      <c r="E5" s="88" t="inlineStr">
        <is>
          <t>BioViL-T</t>
        </is>
      </c>
      <c r="F5" s="69" t="inlineStr">
        <is>
          <t>ConvNeXt-Base</t>
        </is>
      </c>
      <c r="G5" s="69" t="inlineStr">
        <is>
          <t>ConvNeXt-Small</t>
        </is>
      </c>
      <c r="H5" s="88" t="inlineStr">
        <is>
          <t>RAD-DINO</t>
        </is>
      </c>
      <c r="I5" s="69" t="inlineStr">
        <is>
          <t>Cascade stage 1: ConvNeXt-Tiny (official split, seed 42)</t>
        </is>
      </c>
      <c r="J5" s="69" t="inlineStr">
        <is>
          <t>Cascade stage 2: RAD-DINO (official split, seed 42)</t>
        </is>
      </c>
    </row>
    <row r="6" ht="23.25" customHeight="1" s="65">
      <c r="A6" s="77" t="inlineStr">
        <is>
          <t>Split / test set</t>
        </is>
      </c>
      <c r="B6" s="71" t="inlineStr">
        <is>
          <t>Random split, 15,917 test images</t>
        </is>
      </c>
      <c r="C6" s="71" t="inlineStr">
        <is>
          <t>Random split, 15,917 test images</t>
        </is>
      </c>
      <c r="D6" s="71" t="inlineStr">
        <is>
          <t>Random split, 15,917 test images</t>
        </is>
      </c>
      <c r="E6" s="71" t="inlineStr">
        <is>
          <t>Random split, 15,917 test images</t>
        </is>
      </c>
      <c r="F6" s="71" t="inlineStr">
        <is>
          <t>Random split, 15,917 test images</t>
        </is>
      </c>
      <c r="G6" s="71" t="inlineStr">
        <is>
          <t>Random split, 15,917 test images</t>
        </is>
      </c>
      <c r="H6" s="71" t="inlineStr">
        <is>
          <t>Random split, 15,917 test images</t>
        </is>
      </c>
      <c r="I6" s="89" t="inlineStr">
        <is>
          <t>Official NIH split, 25,596 test images</t>
        </is>
      </c>
      <c r="J6" s="89" t="inlineStr">
        <is>
          <t>Official NIH split, 25,596 test images</t>
        </is>
      </c>
    </row>
    <row r="7" ht="15" customHeight="1" s="65">
      <c r="A7" s="70" t="inlineStr">
        <is>
          <t>Dataset</t>
        </is>
      </c>
      <c r="B7" s="71" t="inlineStr">
        <is>
          <t>NIH ChestX-ray14</t>
        </is>
      </c>
      <c r="C7" s="71" t="inlineStr">
        <is>
          <t>NIH ChestX-ray14</t>
        </is>
      </c>
      <c r="D7" s="71" t="inlineStr">
        <is>
          <t>NIH ChestX-ray14</t>
        </is>
      </c>
      <c r="E7" s="71" t="inlineStr">
        <is>
          <t>NIH ChestX-ray14</t>
        </is>
      </c>
      <c r="F7" s="71" t="inlineStr">
        <is>
          <t>NIH ChestX-ray14</t>
        </is>
      </c>
      <c r="G7" s="71" t="inlineStr">
        <is>
          <t>NIH ChestX-ray14</t>
        </is>
      </c>
      <c r="H7" s="71" t="inlineStr">
        <is>
          <t>NIH ChestX-ray14</t>
        </is>
      </c>
      <c r="I7" s="71" t="inlineStr">
        <is>
          <t>NIH ChestX-ray14 (official split)</t>
        </is>
      </c>
      <c r="J7" s="71" t="inlineStr">
        <is>
          <t>NIH ChestX-ray14 (official split)</t>
        </is>
      </c>
    </row>
    <row r="8" ht="23.25" customHeight="1" s="65">
      <c r="A8" s="90" t="inlineStr">
        <is>
          <t>Backbone</t>
        </is>
      </c>
      <c r="B8" s="91" t="inlineStr">
        <is>
          <t>DenseNet-121</t>
        </is>
      </c>
      <c r="C8" s="91" t="inlineStr">
        <is>
          <t>ConvNeXt-Tiny</t>
        </is>
      </c>
      <c r="D8" s="91" t="inlineStr">
        <is>
          <t>DenseNet-121 (improved)</t>
        </is>
      </c>
      <c r="E8" s="91" t="inlineStr">
        <is>
          <t>BioViL-T (vision-language transformer)</t>
        </is>
      </c>
      <c r="F8" s="91" t="inlineStr">
        <is>
          <t>ConvNeXt-Base</t>
        </is>
      </c>
      <c r="G8" s="91" t="inlineStr">
        <is>
          <t>ConvNeXt-Small</t>
        </is>
      </c>
      <c r="H8" s="91" t="inlineStr">
        <is>
          <t>RAD-DINO (ViT-B, 12 blocks)</t>
        </is>
      </c>
      <c r="I8" s="91" t="inlineStr">
        <is>
          <t>ConvNeXt-Tiny (convnext_tiny.fb_in22k_ft_in1k)</t>
        </is>
      </c>
      <c r="J8" s="91" t="inlineStr">
        <is>
          <t>RAD-DINO (microsoft/rad-dino, ViT-B/14)</t>
        </is>
      </c>
      <c r="K8" s="92" t="n"/>
      <c r="L8" s="92" t="n"/>
      <c r="M8" s="92" t="n"/>
      <c r="N8" s="92" t="n"/>
      <c r="O8" s="92" t="n"/>
      <c r="P8" s="92" t="n"/>
      <c r="Q8" s="92" t="n"/>
      <c r="R8" s="92" t="n"/>
      <c r="S8" s="92" t="n"/>
      <c r="T8" s="92" t="n"/>
      <c r="U8" s="92" t="n"/>
      <c r="V8" s="92" t="n"/>
      <c r="W8" s="92" t="n"/>
      <c r="X8" s="92" t="n"/>
      <c r="Y8" s="92" t="n"/>
      <c r="Z8" s="92" t="n"/>
    </row>
    <row r="9" ht="15" customHeight="1" s="65">
      <c r="A9" s="70" t="inlineStr">
        <is>
          <t>Library</t>
        </is>
      </c>
      <c r="B9" s="71" t="inlineStr">
        <is>
          <t>torchxrayvision</t>
        </is>
      </c>
      <c r="C9" s="71" t="inlineStr">
        <is>
          <t>timm</t>
        </is>
      </c>
      <c r="D9" s="71" t="inlineStr">
        <is>
          <t>torchxrayvision</t>
        </is>
      </c>
      <c r="E9" s="71" t="inlineStr">
        <is>
          <t>Not stated in source</t>
        </is>
      </c>
      <c r="F9" s="71" t="inlineStr">
        <is>
          <t>timm</t>
        </is>
      </c>
      <c r="G9" s="71" t="inlineStr">
        <is>
          <t>timm 1.0.26</t>
        </is>
      </c>
      <c r="H9" s="71" t="inlineStr">
        <is>
          <t>HuggingFace</t>
        </is>
      </c>
      <c r="I9" s="71" t="inlineStr">
        <is>
          <t>timm</t>
        </is>
      </c>
      <c r="J9" s="71" t="inlineStr">
        <is>
          <t>HuggingFace transformers</t>
        </is>
      </c>
    </row>
    <row r="10" ht="45.75" customHeight="1" s="65">
      <c r="A10" s="90" t="inlineStr">
        <is>
          <t>Pre-training data</t>
        </is>
      </c>
      <c r="B10" s="91" t="inlineStr">
        <is>
          <t>Chest X-rays (NIH + other CXR sources)</t>
        </is>
      </c>
      <c r="C10" s="91" t="inlineStr">
        <is>
          <t>ImageNet-22k then ImageNet-1k</t>
        </is>
      </c>
      <c r="D10" s="91" t="inlineStr">
        <is>
          <t>Chest X-rays (NIH + CheXpert + MIMIC + PadChest + RSNA + OpenI)</t>
        </is>
      </c>
      <c r="E10" s="91" t="inlineStr">
        <is>
          <t>Vision-language pre-training on biomedical image + text data</t>
        </is>
      </c>
      <c r="F10" s="91" t="inlineStr">
        <is>
          <t>ImageNet-22k then ImageNet-1k</t>
        </is>
      </c>
      <c r="G10" s="91" t="inlineStr">
        <is>
          <t>ImageNet-22k then ImageNet-1k at 384px</t>
        </is>
      </c>
      <c r="H10" s="91" t="inlineStr">
        <is>
          <t>Self-supervised DINOv2 on chest X-rays</t>
        </is>
      </c>
      <c r="I10" s="91" t="inlineStr">
        <is>
          <t>ImageNet-22k then ImageNet-1k</t>
        </is>
      </c>
      <c r="J10" s="91" t="inlineStr">
        <is>
          <t>Self-supervised DINOv2 on chest X-rays</t>
        </is>
      </c>
      <c r="K10" s="92" t="n"/>
      <c r="L10" s="92" t="n"/>
      <c r="M10" s="92" t="n"/>
      <c r="N10" s="92" t="n"/>
      <c r="O10" s="92" t="n"/>
      <c r="P10" s="92" t="n"/>
      <c r="Q10" s="92" t="n"/>
      <c r="R10" s="92" t="n"/>
      <c r="S10" s="92" t="n"/>
      <c r="T10" s="92" t="n"/>
      <c r="U10" s="92" t="n"/>
      <c r="V10" s="92" t="n"/>
      <c r="W10" s="92" t="n"/>
      <c r="X10" s="92" t="n"/>
      <c r="Y10" s="92" t="n"/>
      <c r="Z10" s="92" t="n"/>
    </row>
    <row r="11" ht="23.25" customHeight="1" s="65">
      <c r="A11" s="70" t="inlineStr">
        <is>
          <t>Feature dimension</t>
        </is>
      </c>
      <c r="B11" s="93" t="n">
        <v>1024</v>
      </c>
      <c r="C11" s="94" t="n">
        <v>768</v>
      </c>
      <c r="D11" s="93" t="n">
        <v>1024</v>
      </c>
      <c r="E11" s="94" t="n">
        <v>512</v>
      </c>
      <c r="F11" s="93" t="n">
        <v>1792</v>
      </c>
      <c r="G11" s="71" t="inlineStr">
        <is>
          <t>768 (1536 after dual pooling)</t>
        </is>
      </c>
      <c r="H11" s="71" t="inlineStr">
        <is>
          <t>768 (1536 after dual pooling)</t>
        </is>
      </c>
      <c r="I11" s="71" t="inlineStr">
        <is>
          <t>768</t>
        </is>
      </c>
      <c r="J11" s="71" t="inlineStr">
        <is>
          <t>1536 (CLS + mean of patch tokens)</t>
        </is>
      </c>
    </row>
    <row r="12" ht="15" customHeight="1" s="65">
      <c r="A12" s="70" t="inlineStr">
        <is>
          <t>Input channels</t>
        </is>
      </c>
      <c r="B12" s="71" t="inlineStr">
        <is>
          <t>1 (grayscale)</t>
        </is>
      </c>
      <c r="C12" s="71" t="inlineStr">
        <is>
          <t>3 (RGB)</t>
        </is>
      </c>
      <c r="D12" s="71" t="inlineStr">
        <is>
          <t>1 (grayscale)</t>
        </is>
      </c>
      <c r="E12" s="71" t="inlineStr">
        <is>
          <t>Not stated in source</t>
        </is>
      </c>
      <c r="F12" s="71" t="inlineStr">
        <is>
          <t>Not stated in source</t>
        </is>
      </c>
      <c r="G12" s="71" t="inlineStr">
        <is>
          <t>3 (RGB)</t>
        </is>
      </c>
      <c r="H12" s="71" t="inlineStr">
        <is>
          <t>3 (RGB)</t>
        </is>
      </c>
      <c r="I12" s="71" t="inlineStr">
        <is>
          <t>3 (grayscale replicated)</t>
        </is>
      </c>
      <c r="J12" s="71" t="inlineStr">
        <is>
          <t>3 (grayscale replicated)</t>
        </is>
      </c>
    </row>
    <row r="13" ht="15" customHeight="1" s="65">
      <c r="A13" s="70" t="inlineStr">
        <is>
          <t>Input size</t>
        </is>
      </c>
      <c r="B13" s="71" t="inlineStr">
        <is>
          <t>Not stated in source</t>
        </is>
      </c>
      <c r="C13" s="71" t="inlineStr">
        <is>
          <t>Not stated in source</t>
        </is>
      </c>
      <c r="D13" s="71" t="inlineStr">
        <is>
          <t>Not stated in source</t>
        </is>
      </c>
      <c r="E13" s="71" t="inlineStr">
        <is>
          <t>448 x 448</t>
        </is>
      </c>
      <c r="F13" s="71" t="inlineStr">
        <is>
          <t>380 x 380</t>
        </is>
      </c>
      <c r="G13" s="71" t="inlineStr">
        <is>
          <t>384 x 384</t>
        </is>
      </c>
      <c r="H13" s="71" t="inlineStr">
        <is>
          <t>518 x 518</t>
        </is>
      </c>
      <c r="I13" s="71" t="inlineStr">
        <is>
          <t>384 x 384</t>
        </is>
      </c>
      <c r="J13" s="71" t="inlineStr">
        <is>
          <t>518 x 518</t>
        </is>
      </c>
    </row>
    <row r="14" ht="34.5" customHeight="1" s="65">
      <c r="A14" s="70" t="inlineStr">
        <is>
          <t>Preprocessing</t>
        </is>
      </c>
      <c r="B14" s="71" t="inlineStr">
        <is>
          <t>xrv normalization</t>
        </is>
      </c>
      <c r="C14" s="71" t="inlineStr">
        <is>
          <t>ImageNet normalization</t>
        </is>
      </c>
      <c r="D14" s="71" t="inlineStr">
        <is>
          <t>xrv custom normalization</t>
        </is>
      </c>
      <c r="E14" s="71" t="inlineStr">
        <is>
          <t>Not stated in source</t>
        </is>
      </c>
      <c r="F14" s="71" t="inlineStr">
        <is>
          <t>Not stated in source</t>
        </is>
      </c>
      <c r="G14" s="71" t="inlineStr">
        <is>
          <t>ImageNet normalization</t>
        </is>
      </c>
      <c r="H14" s="71" t="inlineStr">
        <is>
          <t>RAD-DINO normalization (mean 0.5307, std 0.2583)</t>
        </is>
      </c>
      <c r="I14" s="71" t="inlineStr">
        <is>
          <t>ImageNet normalization</t>
        </is>
      </c>
      <c r="J14" s="71" t="inlineStr">
        <is>
          <t>RAD-DINO normalization (mean 0.5307, std 0.2583)</t>
        </is>
      </c>
    </row>
    <row r="15" ht="15" customHeight="1" s="65">
      <c r="A15" s="70" t="inlineStr">
        <is>
          <t>Classification head</t>
        </is>
      </c>
      <c r="B15" s="71" t="inlineStr">
        <is>
          <t>Custom 14-way</t>
        </is>
      </c>
      <c r="C15" s="71" t="inlineStr">
        <is>
          <t>Custom 14-way</t>
        </is>
      </c>
      <c r="D15" s="71" t="inlineStr">
        <is>
          <t>Custom 14-way</t>
        </is>
      </c>
      <c r="E15" s="71" t="inlineStr">
        <is>
          <t>Custom 14-way</t>
        </is>
      </c>
      <c r="F15" s="71" t="inlineStr">
        <is>
          <t>Custom 14-way</t>
        </is>
      </c>
      <c r="G15" s="71" t="inlineStr">
        <is>
          <t>Custom 14-way</t>
        </is>
      </c>
      <c r="H15" s="71" t="inlineStr">
        <is>
          <t>Custom 14-way</t>
        </is>
      </c>
      <c r="I15" s="71" t="inlineStr">
        <is>
          <t>Dropout (0.2) + linear → 14 logits</t>
        </is>
      </c>
      <c r="J15" s="71" t="inlineStr">
        <is>
          <t>Linear → 14 logits</t>
        </is>
      </c>
    </row>
    <row r="16" ht="34.5" customHeight="1" s="65">
      <c r="A16" s="70" t="inlineStr">
        <is>
          <t>Loss function</t>
        </is>
      </c>
      <c r="B16" s="71" t="inlineStr">
        <is>
          <t>BCEWithLogitsLoss</t>
        </is>
      </c>
      <c r="C16" s="71" t="inlineStr">
        <is>
          <t>BCEWithLogitsLoss</t>
        </is>
      </c>
      <c r="D16" s="71" t="inlineStr">
        <is>
          <t>Class-weighted BCEWithLogitsLoss</t>
        </is>
      </c>
      <c r="E16" s="71" t="inlineStr">
        <is>
          <t>Not stated in source</t>
        </is>
      </c>
      <c r="F16" s="71" t="inlineStr">
        <is>
          <t>Not stated in source</t>
        </is>
      </c>
      <c r="G16" s="71" t="inlineStr">
        <is>
          <t>AsymmetricLoss (g_neg=4, g_pos=1, clip=0.05)</t>
        </is>
      </c>
      <c r="H16" s="71" t="inlineStr">
        <is>
          <t>AsymmetricLoss (g_neg=4, g_pos=1, clip=0.05)</t>
        </is>
      </c>
      <c r="I16" s="71" t="inlineStr">
        <is>
          <t>AsymmetricLoss (g_neg=4, g_pos=1, clip=0.05)</t>
        </is>
      </c>
      <c r="J16" s="71" t="inlineStr">
        <is>
          <t>AsymmetricLoss (g_neg=4, g_pos=1, clip=0.05)</t>
        </is>
      </c>
    </row>
    <row r="17" ht="57" customHeight="1" s="65">
      <c r="A17" s="70" t="inlineStr">
        <is>
          <t>Training scheme</t>
        </is>
      </c>
      <c r="B17" s="71" t="inlineStr">
        <is>
          <t>Single-phase</t>
        </is>
      </c>
      <c r="C17" s="71" t="inlineStr">
        <is>
          <t>Single-phase</t>
        </is>
      </c>
      <c r="D17" s="71" t="inlineStr">
        <is>
          <t>Two-phase (warmup then fine-tune)</t>
        </is>
      </c>
      <c r="E17" s="71" t="inlineStr">
        <is>
          <t>Two-phase (warmup then fine-tune)</t>
        </is>
      </c>
      <c r="F17" s="71" t="inlineStr">
        <is>
          <t>Two-phase (warmup then fine-tune)</t>
        </is>
      </c>
      <c r="G17" s="71" t="inlineStr">
        <is>
          <t>Two-phase (2 warmup, then last 2 of 4 stages)</t>
        </is>
      </c>
      <c r="H17" s="71" t="inlineStr">
        <is>
          <t>Two-phase (3 warmup, then last 8 of 12 ViT blocks)</t>
        </is>
      </c>
      <c r="I17" s="71" t="inlineStr">
        <is>
          <t>1 warmup epoch (head only, LR 1e-3), then full fine-tuning (head 1e-4, backbone 1e-4), up to 8 epochs</t>
        </is>
      </c>
      <c r="J17" s="71" t="inlineStr">
        <is>
          <t>2 warmup epochs (head only, LR 1e-3), then last 8 of 12 blocks with layer-wise LR decay 0.8 (backbone 2e-5, head 2e-4), up to 4 epochs, EMA 0.999</t>
        </is>
      </c>
    </row>
    <row r="18" ht="45.75" customHeight="1" s="65">
      <c r="A18" s="70" t="inlineStr">
        <is>
          <t>Optimizer / regularization</t>
        </is>
      </c>
      <c r="B18" s="71" t="inlineStr">
        <is>
          <t>Not stated in source</t>
        </is>
      </c>
      <c r="C18" s="71" t="inlineStr">
        <is>
          <t>Not stated in source</t>
        </is>
      </c>
      <c r="D18" s="71" t="inlineStr">
        <is>
          <t>Not stated in source</t>
        </is>
      </c>
      <c r="E18" s="71" t="inlineStr">
        <is>
          <t>Not stated in source</t>
        </is>
      </c>
      <c r="F18" s="71" t="inlineStr">
        <is>
          <t>Not stated in source</t>
        </is>
      </c>
      <c r="G18" s="71" t="inlineStr">
        <is>
          <t>Not stated in source</t>
        </is>
      </c>
      <c r="H18" s="71" t="inlineStr">
        <is>
          <t>Not stated in source</t>
        </is>
      </c>
      <c r="I18" s="71" t="inlineStr">
        <is>
          <t>AdamW, weight decay 0.05, cosine schedule, drop-path 0.1, grad clip 1.0, fp16, early stop on val macro AUROC (patience 2)</t>
        </is>
      </c>
      <c r="J18" s="71" t="inlineStr">
        <is>
          <t>Same as ConvNeXt-Tiny, plus EMA of weights (0.999)</t>
        </is>
      </c>
    </row>
    <row r="19" ht="34.5" customHeight="1" s="65">
      <c r="A19" s="70" t="inlineStr">
        <is>
          <t>Augmentation</t>
        </is>
      </c>
      <c r="B19" s="71" t="inlineStr">
        <is>
          <t>Not stated in source</t>
        </is>
      </c>
      <c r="C19" s="71" t="inlineStr">
        <is>
          <t>Not stated in source</t>
        </is>
      </c>
      <c r="D19" s="71" t="inlineStr">
        <is>
          <t>Not stated in source</t>
        </is>
      </c>
      <c r="E19" s="71" t="inlineStr">
        <is>
          <t>Not stated in source</t>
        </is>
      </c>
      <c r="F19" s="71" t="inlineStr">
        <is>
          <t>Not stated in source</t>
        </is>
      </c>
      <c r="G19" s="71" t="inlineStr">
        <is>
          <t>Not stated in source</t>
        </is>
      </c>
      <c r="H19" s="71" t="inlineStr">
        <is>
          <t>Not stated in source</t>
        </is>
      </c>
      <c r="I19" s="71" t="inlineStr">
        <is>
          <t>Random resized crop (0.85–1.0), horizontal flip, ±7° rotation (p 0.5), brightness/contrast ±0.1. No TTA.</t>
        </is>
      </c>
      <c r="J19" s="71" t="inlineStr">
        <is>
          <t>Same as ConvNeXt-Tiny. No TTA.</t>
        </is>
      </c>
    </row>
    <row r="20" ht="15" customHeight="1" s="65">
      <c r="A20" s="70" t="inlineStr">
        <is>
          <t>Calibration</t>
        </is>
      </c>
      <c r="B20" s="71" t="inlineStr">
        <is>
          <t>Temperature scaling</t>
        </is>
      </c>
      <c r="C20" s="71" t="inlineStr">
        <is>
          <t>Temperature scaling</t>
        </is>
      </c>
      <c r="D20" s="71" t="inlineStr">
        <is>
          <t>Temperature scaling</t>
        </is>
      </c>
      <c r="E20" s="71" t="inlineStr">
        <is>
          <t>Temperature scaling</t>
        </is>
      </c>
      <c r="F20" s="71" t="inlineStr">
        <is>
          <t>Temperature scaling</t>
        </is>
      </c>
      <c r="G20" s="71" t="inlineStr">
        <is>
          <t>Temperature scaling</t>
        </is>
      </c>
      <c r="H20" s="71" t="inlineStr">
        <is>
          <t>Temperature scaling</t>
        </is>
      </c>
      <c r="I20" s="71" t="inlineStr">
        <is>
          <t>Per-class Platt scaling</t>
        </is>
      </c>
      <c r="J20" s="71" t="inlineStr">
        <is>
          <t>Per-class Platt scaling</t>
        </is>
      </c>
    </row>
    <row r="21" ht="15.75" customHeight="1" s="65">
      <c r="A21" s="70" t="inlineStr">
        <is>
          <t>Calibrated temperature</t>
        </is>
      </c>
      <c r="B21" s="71" t="inlineStr">
        <is>
          <t>n/r</t>
        </is>
      </c>
      <c r="C21" s="71" t="inlineStr">
        <is>
          <t>n/r</t>
        </is>
      </c>
      <c r="D21" s="94" t="n">
        <v>0.6821</v>
      </c>
      <c r="E21" s="94" t="n">
        <v>0.6971000000000001</v>
      </c>
      <c r="F21" s="94" t="n">
        <v>1.9554</v>
      </c>
      <c r="G21" s="94" t="n">
        <v>1.2052</v>
      </c>
      <c r="H21" s="94" t="n">
        <v>1.1278</v>
      </c>
      <c r="I21" s="71" t="inlineStr">
        <is>
          <t>n/a (per-class Platt)</t>
        </is>
      </c>
      <c r="J21" s="71" t="inlineStr">
        <is>
          <t>n/a (per-class Platt)</t>
        </is>
      </c>
    </row>
    <row r="22" ht="15.75" customHeight="1" s="65">
      <c r="A22" s="70" t="inlineStr">
        <is>
          <t>Thresholding</t>
        </is>
      </c>
      <c r="B22" s="71" t="inlineStr">
        <is>
          <t>Fixed at 0.50</t>
        </is>
      </c>
      <c r="C22" s="71" t="inlineStr">
        <is>
          <t>Tuned per class</t>
        </is>
      </c>
      <c r="D22" s="71" t="inlineStr">
        <is>
          <t>Tuned per class</t>
        </is>
      </c>
      <c r="E22" s="71" t="inlineStr">
        <is>
          <t>Tuned per class (0.50 report also given)</t>
        </is>
      </c>
      <c r="F22" s="71" t="inlineStr">
        <is>
          <t>Tuned per class (0.50 report also given)</t>
        </is>
      </c>
      <c r="G22" s="71" t="inlineStr">
        <is>
          <t>Five strategies compared</t>
        </is>
      </c>
      <c r="H22" s="71" t="inlineStr">
        <is>
          <t>Five strategies compared</t>
        </is>
      </c>
      <c r="I22" s="95" t="inlineStr">
        <is>
          <t>Per-class, tuned on validation to maximise F1</t>
        </is>
      </c>
      <c r="J22" s="95" t="inlineStr">
        <is>
          <t>Per-class, tuned on validation to maximise F1</t>
        </is>
      </c>
    </row>
    <row r="23" ht="15.75" customHeight="1" s="65">
      <c r="A23" s="70" t="inlineStr">
        <is>
          <t>Total parameters</t>
        </is>
      </c>
      <c r="B23" s="71" t="inlineStr">
        <is>
          <t>n/r</t>
        </is>
      </c>
      <c r="C23" s="71" t="inlineStr">
        <is>
          <t>n/r</t>
        </is>
      </c>
      <c r="D23" s="71" t="inlineStr">
        <is>
          <t>n/r</t>
        </is>
      </c>
      <c r="E23" s="71" t="inlineStr">
        <is>
          <t>n/r</t>
        </is>
      </c>
      <c r="F23" s="71" t="inlineStr">
        <is>
          <t>n/r</t>
        </is>
      </c>
      <c r="G23" s="93" t="n">
        <v>49479279</v>
      </c>
      <c r="H23" s="93" t="n">
        <v>86605071</v>
      </c>
      <c r="I23" s="93" t="n">
        <v>27830894</v>
      </c>
      <c r="J23" s="93" t="n">
        <v>86601998</v>
      </c>
    </row>
    <row r="24" ht="15.75" customHeight="1" s="65">
      <c r="A24" s="70" t="inlineStr">
        <is>
          <t>Trainable parameters</t>
        </is>
      </c>
      <c r="B24" s="71" t="inlineStr">
        <is>
          <t>n/r</t>
        </is>
      </c>
      <c r="C24" s="71" t="inlineStr">
        <is>
          <t>n/r</t>
        </is>
      </c>
      <c r="D24" s="71" t="inlineStr">
        <is>
          <t>n/r</t>
        </is>
      </c>
      <c r="E24" s="93" t="n">
        <v>27357111</v>
      </c>
      <c r="F24" s="93" t="n">
        <v>17573719</v>
      </c>
      <c r="G24" s="93" t="n">
        <v>48244239</v>
      </c>
      <c r="H24" s="93" t="n">
        <v>56741391</v>
      </c>
      <c r="I24" s="93" t="n">
        <v>27830894</v>
      </c>
      <c r="J24" s="93" t="n">
        <v>56738318</v>
      </c>
    </row>
    <row r="25" ht="15.75" customHeight="1" s="65">
      <c r="A25" s="70" t="inlineStr">
        <is>
          <t>Batch size</t>
        </is>
      </c>
      <c r="B25" s="71" t="inlineStr">
        <is>
          <t>n/r</t>
        </is>
      </c>
      <c r="C25" s="71" t="inlineStr">
        <is>
          <t>n/r</t>
        </is>
      </c>
      <c r="D25" s="71" t="inlineStr">
        <is>
          <t>n/r</t>
        </is>
      </c>
      <c r="E25" s="94" t="n">
        <v>12</v>
      </c>
      <c r="F25" s="94" t="n">
        <v>16</v>
      </c>
      <c r="G25" s="94" t="n">
        <v>16</v>
      </c>
      <c r="H25" s="94" t="n">
        <v>12</v>
      </c>
      <c r="I25" s="94" t="n">
        <v>32</v>
      </c>
      <c r="J25" s="94" t="n">
        <v>12</v>
      </c>
    </row>
    <row r="26" ht="15.75" customHeight="1" s="65">
      <c r="A26" s="70" t="inlineStr">
        <is>
          <t>Warmup epochs</t>
        </is>
      </c>
      <c r="B26" s="71" t="inlineStr">
        <is>
          <t>n/r</t>
        </is>
      </c>
      <c r="C26" s="71" t="inlineStr">
        <is>
          <t>n/r</t>
        </is>
      </c>
      <c r="D26" s="71" t="inlineStr">
        <is>
          <t>n/r</t>
        </is>
      </c>
      <c r="E26" s="94" t="n">
        <v>4</v>
      </c>
      <c r="F26" s="94" t="n">
        <v>4</v>
      </c>
      <c r="G26" s="94" t="n">
        <v>2</v>
      </c>
      <c r="H26" s="94" t="n">
        <v>3</v>
      </c>
      <c r="I26" s="94" t="n">
        <v>1</v>
      </c>
      <c r="J26" s="94" t="n">
        <v>2</v>
      </c>
    </row>
    <row r="27" ht="15.75" customHeight="1" s="65">
      <c r="A27" s="70" t="inlineStr">
        <is>
          <t>Fine-tune epochs</t>
        </is>
      </c>
      <c r="B27" s="71" t="inlineStr">
        <is>
          <t>n/r</t>
        </is>
      </c>
      <c r="C27" s="71" t="inlineStr">
        <is>
          <t>n/r</t>
        </is>
      </c>
      <c r="D27" s="71" t="inlineStr">
        <is>
          <t>n/r</t>
        </is>
      </c>
      <c r="E27" s="94" t="n">
        <v>6</v>
      </c>
      <c r="F27" s="94" t="n">
        <v>6</v>
      </c>
      <c r="G27" s="71" t="inlineStr">
        <is>
          <t>3 (early stop)</t>
        </is>
      </c>
      <c r="H27" s="71" t="inlineStr">
        <is>
          <t>3 (early stop)</t>
        </is>
      </c>
      <c r="I27" s="71" t="inlineStr">
        <is>
          <t>8 epochs run (1 warm-up + 7 fine-tune, early stop); best = epoch 6</t>
        </is>
      </c>
      <c r="J27" s="71" t="inlineStr">
        <is>
          <t>6 epochs run (2 warm-up + 4 fine-tune); best = epoch 4</t>
        </is>
      </c>
    </row>
    <row r="28" ht="15.75" customHeight="1" s="65">
      <c r="A28" s="70" t="inlineStr">
        <is>
          <t>Best validation macro AUROC</t>
        </is>
      </c>
      <c r="B28" s="71" t="inlineStr">
        <is>
          <t>n/r</t>
        </is>
      </c>
      <c r="C28" s="71" t="inlineStr">
        <is>
          <t>n/r</t>
        </is>
      </c>
      <c r="D28" s="71" t="inlineStr">
        <is>
          <t>n/r</t>
        </is>
      </c>
      <c r="E28" s="94" t="n">
        <v>0.8274</v>
      </c>
      <c r="F28" s="94" t="n">
        <v>0.8082</v>
      </c>
      <c r="G28" s="94" t="n">
        <v>0.7982</v>
      </c>
      <c r="H28" s="94" t="n">
        <v>0.8483000000000001</v>
      </c>
      <c r="I28" s="96" t="n">
        <v>0.859775255039285</v>
      </c>
      <c r="J28" s="96" t="n">
        <v>0.865113145281588</v>
      </c>
    </row>
    <row r="29" ht="15.75" customHeight="1" s="65">
      <c r="A29" s="70" t="inlineStr">
        <is>
          <t>Test macro AUROC</t>
        </is>
      </c>
      <c r="B29" s="94" t="n">
        <v>0.76</v>
      </c>
      <c r="C29" s="94" t="n">
        <v>0.831</v>
      </c>
      <c r="D29" s="94" t="n">
        <v>0.8129999999999999</v>
      </c>
      <c r="E29" s="94" t="n">
        <v>0.836</v>
      </c>
      <c r="F29" s="94" t="n">
        <v>0.819</v>
      </c>
      <c r="G29" s="94" t="n">
        <v>0.8061</v>
      </c>
      <c r="H29" s="94" t="n">
        <v>0.8512999999999999</v>
      </c>
      <c r="I29" s="96" t="n">
        <v>0.826303894194635</v>
      </c>
      <c r="J29" s="96" t="n">
        <v>0.836386109952279</v>
      </c>
    </row>
    <row r="30" ht="15.75" customHeight="1" s="65">
      <c r="A30" s="70" t="inlineStr">
        <is>
          <t>Total training time</t>
        </is>
      </c>
      <c r="B30" s="71" t="inlineStr">
        <is>
          <t>n/r</t>
        </is>
      </c>
      <c r="C30" s="71" t="inlineStr">
        <is>
          <t>n/r</t>
        </is>
      </c>
      <c r="D30" s="71" t="inlineStr">
        <is>
          <t>n/r</t>
        </is>
      </c>
      <c r="E30" s="71" t="inlineStr">
        <is>
          <t>n/r</t>
        </is>
      </c>
      <c r="F30" s="71" t="inlineStr">
        <is>
          <t>n/r</t>
        </is>
      </c>
      <c r="G30" s="71" t="inlineStr">
        <is>
          <t>7,655 s (~2.1 h)</t>
        </is>
      </c>
      <c r="H30" s="71" t="inlineStr">
        <is>
          <t>26,749 s (~7.4 h) + 940 s to collect logits</t>
        </is>
      </c>
      <c r="I30" s="71" t="inlineStr">
        <is>
          <t>2.77 h</t>
        </is>
      </c>
      <c r="J30" s="71" t="inlineStr">
        <is>
          <t>6.56 h</t>
        </is>
      </c>
    </row>
    <row r="31" ht="15.75" customHeight="1" s="65">
      <c r="A31" s="70" t="inlineStr">
        <is>
          <t>Inference time (ms/image, T4, batch 32)</t>
        </is>
      </c>
      <c r="B31" s="71" t="inlineStr">
        <is>
          <t>n/r</t>
        </is>
      </c>
      <c r="C31" s="71" t="inlineStr">
        <is>
          <t>n/r</t>
        </is>
      </c>
      <c r="D31" s="71" t="inlineStr">
        <is>
          <t>n/r</t>
        </is>
      </c>
      <c r="E31" s="71" t="inlineStr">
        <is>
          <t>n/r</t>
        </is>
      </c>
      <c r="F31" s="71" t="inlineStr">
        <is>
          <t>n/r</t>
        </is>
      </c>
      <c r="G31" s="71" t="inlineStr">
        <is>
          <t>n/r</t>
        </is>
      </c>
      <c r="H31" s="71" t="inlineStr">
        <is>
          <t>n/r</t>
        </is>
      </c>
      <c r="I31" s="97" t="n">
        <v>4.00951147079468</v>
      </c>
      <c r="J31" s="97" t="n">
        <v>22.8493852615356</v>
      </c>
    </row>
    <row r="32" ht="15.75" customHeight="1" s="65">
      <c r="A32" s="70" t="inlineStr">
        <is>
          <t>Test set size (images)</t>
        </is>
      </c>
      <c r="B32" s="93" t="n">
        <v>15917</v>
      </c>
      <c r="C32" s="93" t="n">
        <v>15917</v>
      </c>
      <c r="D32" s="93" t="n">
        <v>15917</v>
      </c>
      <c r="E32" s="93" t="n">
        <v>15917</v>
      </c>
      <c r="F32" s="93" t="n">
        <v>15917</v>
      </c>
      <c r="G32" s="93" t="n">
        <v>15917</v>
      </c>
      <c r="H32" s="93" t="n">
        <v>15917</v>
      </c>
      <c r="I32" s="93" t="n">
        <v>25596</v>
      </c>
      <c r="J32" s="93" t="n">
        <v>25596</v>
      </c>
    </row>
    <row r="33" ht="15.75" customHeight="1" s="65">
      <c r="A33" s="70" t="inlineStr">
        <is>
          <t>Source notebook</t>
        </is>
      </c>
      <c r="B33" s="71" t="inlineStr">
        <is>
          <t>https://www.kaggle.com/code/hasibulhossain293/xrvlm-densenet-xrv-fulldata</t>
        </is>
      </c>
      <c r="C33" s="71" t="inlineStr">
        <is>
          <t>https://www.kaggle.com/code/marjiaislam/convnext-tiny</t>
        </is>
      </c>
      <c r="D33" s="71" t="inlineStr">
        <is>
          <t>https://www.kaggle.com/code/ashrafulislamtanzil/data-mining/edit/run/340283180</t>
        </is>
      </c>
      <c r="E33" s="71" t="inlineStr">
        <is>
          <t>https://www.kaggle.com/code/marjiaislam/biovil-t</t>
        </is>
      </c>
      <c r="F33" s="71" t="inlineStr">
        <is>
          <t>https://www.kaggle.com/code/ashrafulislamtanzil/test2</t>
        </is>
      </c>
      <c r="G33" s="71" t="inlineStr">
        <is>
          <t>https://www.kaggle.com/code/marjiaislam/convnext-small</t>
        </is>
      </c>
      <c r="H33" s="71" t="inlineStr">
        <is>
          <t>https://www.kaggle.com/code/marjiaislam/rad-dino-v2</t>
        </is>
      </c>
      <c r="I33" s="71" t="inlineStr">
        <is>
          <t>https://www.kaggle.com/code/hasibulhossain293/notebooka74861b945</t>
        </is>
      </c>
      <c r="J33" s="71" t="inlineStr">
        <is>
          <t>https://www.kaggle.com/code/hasibulhossain293/notebooka74861b945</t>
        </is>
      </c>
    </row>
    <row r="34" ht="15.75" customHeight="1" s="65"/>
    <row r="35" ht="90.75" customHeight="1" s="65">
      <c r="A35" s="67" t="inlineStr">
        <is>
          <t>Tanzil's DenseNet-121 link is a private '/edit/run/...' editor URL, so it only opens for people with edit access. ConvNeXt-Base reports only 17.6M trainable parameters, far below a full ConvNeXt-Base, so part of the backbone was likely frozen. The cascade stages are described in sheet 5. Green-header columns K and L are the official NIH split runs (mean of seeds 42, 43, 44; inference time measured at batch 32 on a T4, fp16). Their numbers are not comparable with the other columns, which use different random splits. Cascade timing: forward pass only, fp16, Tesla T4, median of 3 repeats (timing_*.json, Kaggle session T, 2026-09-24). At batch 1: ConvNeXt-Tiny 11.4 ms, RAD-DINO 22.2 ms.</t>
        </is>
      </c>
    </row>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3">
    <mergeCell ref="A1:J1"/>
    <mergeCell ref="A2:J2"/>
    <mergeCell ref="A35:J35"/>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P9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3359375" defaultRowHeight="15" zeroHeight="0" outlineLevelRow="0"/>
  <cols>
    <col width="30" customWidth="1" style="64" min="1" max="1"/>
    <col width="16" customWidth="1" style="64" min="2" max="2"/>
    <col width="22" customWidth="1" style="64" min="3" max="3"/>
    <col width="11" customWidth="1" style="64" min="4" max="9"/>
    <col width="22" customWidth="1" style="64" min="10" max="10"/>
    <col width="11" customWidth="1" style="64" min="11" max="16"/>
    <col width="8.710000000000001" customWidth="1" style="64" min="17" max="26"/>
  </cols>
  <sheetData>
    <row r="1" ht="24" customHeight="1" s="65">
      <c r="A1" s="66" t="inlineStr">
        <is>
          <t>3. Team Models — random split benchmark (condensed)</t>
        </is>
      </c>
    </row>
    <row r="2" ht="30" customHeight="1" s="65">
      <c r="A2" s="67" t="inlineStr">
        <is>
          <t>Seven team models plus a logit-average ensemble, all tested on the same random-split test set (15,917 images). Values as reported in each model's notebook/log (not recomputed from predictions). n/r = not reported.</t>
        </is>
      </c>
    </row>
    <row r="3" ht="42" customHeight="1" s="65">
      <c r="A3" s="68" t="inlineStr">
        <is>
          <t>Different split from sheets 4–5. These numbers must not be compared with the official-split results: the official test set is harder (e.g. RAD-DINO: 0.851 here vs 0.836 on the official test).</t>
        </is>
      </c>
    </row>
    <row r="5" ht="15" customHeight="1" s="65">
      <c r="A5" s="75" t="inlineStr">
        <is>
          <t>A. Headline benchmark</t>
        </is>
      </c>
      <c r="B5" s="76" t="n"/>
      <c r="C5" s="76" t="n"/>
      <c r="D5" s="76" t="n"/>
      <c r="E5" s="76" t="n"/>
      <c r="F5" s="76" t="n"/>
      <c r="G5" s="76" t="n"/>
      <c r="H5" s="76" t="n"/>
      <c r="I5" s="76" t="n"/>
      <c r="J5" s="76" t="n"/>
      <c r="K5" s="76" t="n"/>
      <c r="L5" s="76" t="n"/>
      <c r="M5" s="76" t="n"/>
      <c r="N5" s="76" t="n"/>
      <c r="O5" s="76" t="n"/>
      <c r="P5" s="76" t="n"/>
    </row>
    <row r="6" ht="45" customHeight="1" s="65">
      <c r="A6" s="69" t="inlineStr">
        <is>
          <t>Model</t>
        </is>
      </c>
      <c r="B6" s="69" t="inlineStr">
        <is>
          <t>Type</t>
        </is>
      </c>
      <c r="C6" s="69" t="inlineStr">
        <is>
          <t>Pre-training</t>
        </is>
      </c>
      <c r="D6" s="69" t="inlineStr">
        <is>
          <t>Macro AUROC</t>
        </is>
      </c>
      <c r="E6" s="69" t="inlineStr">
        <is>
          <t>Macro F1</t>
        </is>
      </c>
      <c r="F6" s="69" t="inlineStr">
        <is>
          <t>Micro F1</t>
        </is>
      </c>
      <c r="G6" s="69" t="inlineStr">
        <is>
          <t>Weighted F1</t>
        </is>
      </c>
      <c r="H6" s="69" t="inlineStr">
        <is>
          <t>Macro AUPRC</t>
        </is>
      </c>
      <c r="I6" s="69" t="inlineStr">
        <is>
          <t>Macro precision</t>
        </is>
      </c>
      <c r="J6" s="69" t="inlineStr">
        <is>
          <t>Macro recall</t>
        </is>
      </c>
      <c r="K6" s="69" t="inlineStr">
        <is>
          <t>Macro specificity</t>
        </is>
      </c>
      <c r="L6" s="69" t="inlineStr">
        <is>
          <t>Macro MCC</t>
        </is>
      </c>
      <c r="M6" s="69" t="inlineStr">
        <is>
          <t>Hamming accuracy</t>
        </is>
      </c>
      <c r="N6" s="69" t="inlineStr">
        <is>
          <t>Subset accuracy</t>
        </is>
      </c>
      <c r="O6" s="69" t="inlineStr">
        <is>
          <t>Rank (AUROC)</t>
        </is>
      </c>
      <c r="P6" s="69" t="inlineStr">
        <is>
          <t>Thresholds</t>
        </is>
      </c>
    </row>
    <row r="7" ht="15" customHeight="1" s="65">
      <c r="A7" s="71" t="inlineStr">
        <is>
          <t>Hasib (DenseNet-121)</t>
        </is>
      </c>
      <c r="B7" s="77" t="inlineStr">
        <is>
          <t>CNN</t>
        </is>
      </c>
      <c r="C7" s="71" t="inlineStr">
        <is>
          <t>Chest X-rays</t>
        </is>
      </c>
      <c r="D7" s="98" t="n">
        <v>0.76</v>
      </c>
      <c r="E7" s="98" t="n">
        <v>0.18</v>
      </c>
      <c r="F7" s="98" t="n">
        <v>0.2</v>
      </c>
      <c r="G7" s="98" t="n">
        <v>0.27</v>
      </c>
      <c r="H7" s="99" t="inlineStr">
        <is>
          <t>n/r</t>
        </is>
      </c>
      <c r="I7" s="98" t="n">
        <v>0.12</v>
      </c>
      <c r="J7" s="100" t="n">
        <v>0.5600000000000001</v>
      </c>
      <c r="K7" s="99" t="inlineStr">
        <is>
          <t>n/r</t>
        </is>
      </c>
      <c r="L7" s="99" t="inlineStr">
        <is>
          <t>n/r</t>
        </is>
      </c>
      <c r="M7" s="99" t="inlineStr">
        <is>
          <t>n/a</t>
        </is>
      </c>
      <c r="N7" s="99" t="inlineStr">
        <is>
          <t>n/a</t>
        </is>
      </c>
      <c r="O7" s="78" t="n">
        <v>8</v>
      </c>
      <c r="P7" s="71" t="inlineStr">
        <is>
          <t>Fixed 0.50</t>
        </is>
      </c>
    </row>
    <row r="8" ht="23.25" customHeight="1" s="65">
      <c r="A8" s="71" t="inlineStr">
        <is>
          <t>Marjia (ConvNeXt-Tiny)</t>
        </is>
      </c>
      <c r="B8" s="77" t="inlineStr">
        <is>
          <t>CNN</t>
        </is>
      </c>
      <c r="C8" s="71" t="inlineStr">
        <is>
          <t>ImageNet</t>
        </is>
      </c>
      <c r="D8" s="98" t="n">
        <v>0.831</v>
      </c>
      <c r="E8" s="98" t="n">
        <v>0.3</v>
      </c>
      <c r="F8" s="98" t="n">
        <v>0.36</v>
      </c>
      <c r="G8" s="98" t="n">
        <v>0.37</v>
      </c>
      <c r="H8" s="99" t="inlineStr">
        <is>
          <t>n/r</t>
        </is>
      </c>
      <c r="I8" s="98" t="n">
        <v>0.27</v>
      </c>
      <c r="J8" s="98" t="n">
        <v>0.37</v>
      </c>
      <c r="K8" s="99" t="inlineStr">
        <is>
          <t>n/r</t>
        </is>
      </c>
      <c r="L8" s="99" t="inlineStr">
        <is>
          <t>n/r</t>
        </is>
      </c>
      <c r="M8" s="100" t="n">
        <v>0.921</v>
      </c>
      <c r="N8" s="100" t="n">
        <v>0.429</v>
      </c>
      <c r="O8" s="78" t="n">
        <v>4</v>
      </c>
      <c r="P8" s="71" t="inlineStr">
        <is>
          <t>Tuned per class</t>
        </is>
      </c>
    </row>
    <row r="9" ht="23.25" customHeight="1" s="65">
      <c r="A9" s="71" t="inlineStr">
        <is>
          <t>Tanzil (DenseNet-121 improved)</t>
        </is>
      </c>
      <c r="B9" s="77" t="inlineStr">
        <is>
          <t>CNN</t>
        </is>
      </c>
      <c r="C9" s="71" t="inlineStr">
        <is>
          <t>Chest X-rays</t>
        </is>
      </c>
      <c r="D9" s="98" t="n">
        <v>0.8129999999999999</v>
      </c>
      <c r="E9" s="98" t="n">
        <v>0.28</v>
      </c>
      <c r="F9" s="98" t="n">
        <v>0.33</v>
      </c>
      <c r="G9" s="98" t="n">
        <v>0.35</v>
      </c>
      <c r="H9" s="99" t="inlineStr">
        <is>
          <t>n/r</t>
        </is>
      </c>
      <c r="I9" s="98" t="n">
        <v>0.23</v>
      </c>
      <c r="J9" s="98" t="n">
        <v>0.39</v>
      </c>
      <c r="K9" s="99" t="inlineStr">
        <is>
          <t>n/r</t>
        </is>
      </c>
      <c r="L9" s="99" t="inlineStr">
        <is>
          <t>n/r</t>
        </is>
      </c>
      <c r="M9" s="98" t="n">
        <v>0.906</v>
      </c>
      <c r="N9" s="98" t="n">
        <v>0.395</v>
      </c>
      <c r="O9" s="78" t="n">
        <v>6</v>
      </c>
      <c r="P9" s="71" t="inlineStr">
        <is>
          <t>Tuned per class</t>
        </is>
      </c>
    </row>
    <row r="10" ht="23.25" customHeight="1" s="65">
      <c r="A10" s="71" t="inlineStr">
        <is>
          <t>BioViL-T</t>
        </is>
      </c>
      <c r="B10" s="77" t="inlineStr">
        <is>
          <t>Vision-language</t>
        </is>
      </c>
      <c r="C10" s="71" t="inlineStr">
        <is>
          <t>Biomedical image + text</t>
        </is>
      </c>
      <c r="D10" s="98" t="n">
        <v>0.836</v>
      </c>
      <c r="E10" s="98" t="n">
        <v>0.32</v>
      </c>
      <c r="F10" s="100" t="n">
        <v>0.37</v>
      </c>
      <c r="G10" s="100" t="n">
        <v>0.39</v>
      </c>
      <c r="H10" s="99" t="inlineStr">
        <is>
          <t>n/r</t>
        </is>
      </c>
      <c r="I10" s="98" t="n">
        <v>0.29</v>
      </c>
      <c r="J10" s="98" t="n">
        <v>0.4</v>
      </c>
      <c r="K10" s="99" t="inlineStr">
        <is>
          <t>n/r</t>
        </is>
      </c>
      <c r="L10" s="99" t="inlineStr">
        <is>
          <t>n/r</t>
        </is>
      </c>
      <c r="M10" s="98" t="n">
        <v>0.92</v>
      </c>
      <c r="N10" s="98" t="n">
        <v>0.415</v>
      </c>
      <c r="O10" s="78" t="n">
        <v>3</v>
      </c>
      <c r="P10" s="71" t="inlineStr">
        <is>
          <t>Tuned per class</t>
        </is>
      </c>
    </row>
    <row r="11" ht="23.25" customHeight="1" s="65">
      <c r="A11" s="71" t="inlineStr">
        <is>
          <t>ConvNeXt-Base</t>
        </is>
      </c>
      <c r="B11" s="77" t="inlineStr">
        <is>
          <t>CNN</t>
        </is>
      </c>
      <c r="C11" s="71" t="inlineStr">
        <is>
          <t>ImageNet</t>
        </is>
      </c>
      <c r="D11" s="98" t="n">
        <v>0.819</v>
      </c>
      <c r="E11" s="98" t="n">
        <v>0.29</v>
      </c>
      <c r="F11" s="98" t="n">
        <v>0.36</v>
      </c>
      <c r="G11" s="98" t="n">
        <v>0.36</v>
      </c>
      <c r="H11" s="99" t="inlineStr">
        <is>
          <t>n/r</t>
        </is>
      </c>
      <c r="I11" s="98" t="n">
        <v>0.25</v>
      </c>
      <c r="J11" s="98" t="n">
        <v>0.36</v>
      </c>
      <c r="K11" s="99" t="inlineStr">
        <is>
          <t>n/r</t>
        </is>
      </c>
      <c r="L11" s="99" t="inlineStr">
        <is>
          <t>n/r</t>
        </is>
      </c>
      <c r="M11" s="98" t="n">
        <v>0.917</v>
      </c>
      <c r="N11" s="98" t="n">
        <v>0.394</v>
      </c>
      <c r="O11" s="78" t="n">
        <v>5</v>
      </c>
      <c r="P11" s="71" t="inlineStr">
        <is>
          <t>Tuned per class</t>
        </is>
      </c>
    </row>
    <row r="12" ht="23.25" customHeight="1" s="65">
      <c r="A12" s="71" t="inlineStr">
        <is>
          <t>ConvNeXt-Small</t>
        </is>
      </c>
      <c r="B12" s="77" t="inlineStr">
        <is>
          <t>CNN</t>
        </is>
      </c>
      <c r="C12" s="71" t="inlineStr">
        <is>
          <t>ImageNet</t>
        </is>
      </c>
      <c r="D12" s="98" t="n">
        <v>0.806</v>
      </c>
      <c r="E12" s="98" t="n">
        <v>0.31</v>
      </c>
      <c r="F12" s="99" t="inlineStr">
        <is>
          <t>n/r</t>
        </is>
      </c>
      <c r="G12" s="99" t="inlineStr">
        <is>
          <t>n/r</t>
        </is>
      </c>
      <c r="H12" s="98" t="n">
        <v>0.247</v>
      </c>
      <c r="I12" s="98" t="n">
        <v>0.275</v>
      </c>
      <c r="J12" s="98" t="n">
        <v>0.381</v>
      </c>
      <c r="K12" s="98" t="n">
        <v>0.9370000000000001</v>
      </c>
      <c r="L12" s="98" t="n">
        <v>0.273</v>
      </c>
      <c r="M12" s="99" t="inlineStr">
        <is>
          <t>n/r</t>
        </is>
      </c>
      <c r="N12" s="99" t="inlineStr">
        <is>
          <t>n/r</t>
        </is>
      </c>
      <c r="O12" s="78" t="n">
        <v>7</v>
      </c>
      <c r="P12" s="71" t="inlineStr">
        <is>
          <t>Best (F1) strategy</t>
        </is>
      </c>
    </row>
    <row r="13" ht="23.25" customHeight="1" s="65">
      <c r="A13" s="71" t="inlineStr">
        <is>
          <t>RAD-DINO</t>
        </is>
      </c>
      <c r="B13" s="77" t="inlineStr">
        <is>
          <t>ViT (self-supervised)</t>
        </is>
      </c>
      <c r="C13" s="71" t="inlineStr">
        <is>
          <t>Chest X-rays (DINOv2)</t>
        </is>
      </c>
      <c r="D13" s="100" t="n">
        <v>0.851</v>
      </c>
      <c r="E13" s="100" t="n">
        <v>0.36</v>
      </c>
      <c r="F13" s="99" t="inlineStr">
        <is>
          <t>n/r</t>
        </is>
      </c>
      <c r="G13" s="99" t="inlineStr">
        <is>
          <t>n/r</t>
        </is>
      </c>
      <c r="H13" s="100" t="n">
        <v>0.295</v>
      </c>
      <c r="I13" s="100" t="n">
        <v>0.311</v>
      </c>
      <c r="J13" s="98" t="n">
        <v>0.451</v>
      </c>
      <c r="K13" s="100" t="n">
        <v>0.9379999999999999</v>
      </c>
      <c r="L13" s="100" t="n">
        <v>0.328</v>
      </c>
      <c r="M13" s="99" t="inlineStr">
        <is>
          <t>n/r</t>
        </is>
      </c>
      <c r="N13" s="99" t="inlineStr">
        <is>
          <t>n/r</t>
        </is>
      </c>
      <c r="O13" s="78" t="n">
        <v>1</v>
      </c>
      <c r="P13" s="71" t="inlineStr">
        <is>
          <t>Best (F1) strategy</t>
        </is>
      </c>
    </row>
    <row r="14" ht="15" customHeight="1" s="65">
      <c r="A14" s="71" t="inlineStr">
        <is>
          <t>Ensemble: logit average of first five</t>
        </is>
      </c>
      <c r="B14" s="77" t="inlineStr">
        <is>
          <t>Ensemble</t>
        </is>
      </c>
      <c r="C14" s="71" t="inlineStr">
        <is>
          <t>–</t>
        </is>
      </c>
      <c r="D14" s="98" t="n">
        <v>0.849</v>
      </c>
      <c r="E14" s="99" t="inlineStr">
        <is>
          <t>n/r</t>
        </is>
      </c>
      <c r="F14" s="99" t="inlineStr">
        <is>
          <t>n/r</t>
        </is>
      </c>
      <c r="G14" s="99" t="inlineStr">
        <is>
          <t>n/r</t>
        </is>
      </c>
      <c r="H14" s="99" t="inlineStr">
        <is>
          <t>n/r</t>
        </is>
      </c>
      <c r="I14" s="99" t="inlineStr">
        <is>
          <t>n/r</t>
        </is>
      </c>
      <c r="J14" s="99" t="inlineStr">
        <is>
          <t>n/r</t>
        </is>
      </c>
      <c r="K14" s="99" t="inlineStr">
        <is>
          <t>n/r</t>
        </is>
      </c>
      <c r="L14" s="99" t="inlineStr">
        <is>
          <t>n/r</t>
        </is>
      </c>
      <c r="M14" s="99" t="inlineStr">
        <is>
          <t>n/r</t>
        </is>
      </c>
      <c r="N14" s="99" t="inlineStr">
        <is>
          <t>n/r</t>
        </is>
      </c>
      <c r="O14" s="78" t="n">
        <v>2</v>
      </c>
      <c r="P14" s="71" t="inlineStr">
        <is>
          <t>n/r</t>
        </is>
      </c>
    </row>
    <row r="15" ht="25.5" customHeight="1" s="65">
      <c r="A15" s="67" t="inlineStr">
        <is>
          <t>Team models, all on the same 15,917-image test set. F1 for Marjia, Tanzil, BioViL-T and ConvNeXt-Base uses tuned thresholds (like-for-like). Hasib uses a fixed 0.50. ConvNeXt-Small and RAD-DINO use their best (F1) strategy. Hamming accuracy is inflated because most labels are negative: predicting 'no disease' everywhere already scores ~0.90.</t>
        </is>
      </c>
    </row>
    <row r="17" ht="15" customHeight="1" s="65">
      <c r="A17" s="75" t="inlineStr">
        <is>
          <t>B. Per-disease AUROC (green = best model for that disease)</t>
        </is>
      </c>
      <c r="B17" s="76" t="n"/>
      <c r="C17" s="76" t="n"/>
      <c r="D17" s="76" t="n"/>
      <c r="E17" s="76" t="n"/>
      <c r="F17" s="76" t="n"/>
      <c r="G17" s="76" t="n"/>
      <c r="H17" s="76" t="n"/>
      <c r="I17" s="76" t="n"/>
      <c r="J17" s="76" t="n"/>
      <c r="K17" s="76" t="n"/>
      <c r="L17" s="76" t="n"/>
      <c r="M17" s="76" t="n"/>
      <c r="N17" s="76" t="n"/>
      <c r="O17" s="76" t="n"/>
      <c r="P17" s="76" t="n"/>
    </row>
    <row r="18" ht="45" customHeight="1" s="65">
      <c r="A18" s="69" t="inlineStr">
        <is>
          <t>Disease</t>
        </is>
      </c>
      <c r="B18" s="69" t="inlineStr">
        <is>
          <t>Test cases</t>
        </is>
      </c>
      <c r="C18" s="69" t="inlineStr">
        <is>
          <t>Hasib (DenseNet-121)</t>
        </is>
      </c>
      <c r="D18" s="69" t="inlineStr">
        <is>
          <t>Marjia (ConvNeXt-Tiny)</t>
        </is>
      </c>
      <c r="E18" s="69" t="inlineStr">
        <is>
          <t>Tanzil (DenseNet-121 improved)</t>
        </is>
      </c>
      <c r="F18" s="69" t="inlineStr">
        <is>
          <t>BioViL-T</t>
        </is>
      </c>
      <c r="G18" s="69" t="inlineStr">
        <is>
          <t>ConvNeXt-Base</t>
        </is>
      </c>
      <c r="H18" s="69" t="inlineStr">
        <is>
          <t>ConvNeXt-Small</t>
        </is>
      </c>
      <c r="I18" s="69" t="inlineStr">
        <is>
          <t>RAD-DINO</t>
        </is>
      </c>
      <c r="J18" s="69" t="inlineStr">
        <is>
          <t>Best model</t>
        </is>
      </c>
    </row>
    <row r="19" ht="15" customHeight="1" s="65">
      <c r="A19" s="77" t="inlineStr">
        <is>
          <t>Hernia</t>
        </is>
      </c>
      <c r="B19" s="79" t="n">
        <v>62</v>
      </c>
      <c r="C19" s="98" t="n">
        <v>0.788</v>
      </c>
      <c r="D19" s="98" t="n">
        <v>0.905</v>
      </c>
      <c r="E19" s="98" t="n">
        <v>0.9379999999999999</v>
      </c>
      <c r="F19" s="98" t="n">
        <v>0.916</v>
      </c>
      <c r="G19" s="98" t="n">
        <v>0.852</v>
      </c>
      <c r="H19" s="98" t="n">
        <v>0.906</v>
      </c>
      <c r="I19" s="100" t="n">
        <v>0.967</v>
      </c>
      <c r="J19" s="71" t="inlineStr">
        <is>
          <t>RAD-DINO</t>
        </is>
      </c>
    </row>
    <row r="20" ht="15" customHeight="1" s="65">
      <c r="A20" s="77" t="inlineStr">
        <is>
          <t>Emphysema</t>
        </is>
      </c>
      <c r="B20" s="79" t="n">
        <v>351</v>
      </c>
      <c r="C20" s="98" t="n">
        <v>0.7</v>
      </c>
      <c r="D20" s="98" t="n">
        <v>0.902</v>
      </c>
      <c r="E20" s="98" t="n">
        <v>0.78</v>
      </c>
      <c r="F20" s="98" t="n">
        <v>0.889</v>
      </c>
      <c r="G20" s="98" t="n">
        <v>0.909</v>
      </c>
      <c r="H20" s="98" t="n">
        <v>0.923</v>
      </c>
      <c r="I20" s="100" t="n">
        <v>0.947</v>
      </c>
      <c r="J20" s="71" t="inlineStr">
        <is>
          <t>RAD-DINO</t>
        </is>
      </c>
    </row>
    <row r="21" ht="15.75" customHeight="1" s="65">
      <c r="A21" s="77" t="inlineStr">
        <is>
          <t>Edema</t>
        </is>
      </c>
      <c r="B21" s="79" t="n">
        <v>343</v>
      </c>
      <c r="C21" s="98" t="n">
        <v>0.849</v>
      </c>
      <c r="D21" s="100" t="n">
        <v>0.914</v>
      </c>
      <c r="E21" s="98" t="n">
        <v>0.887</v>
      </c>
      <c r="F21" s="98" t="n">
        <v>0.909</v>
      </c>
      <c r="G21" s="98" t="n">
        <v>0.904</v>
      </c>
      <c r="H21" s="98" t="n">
        <v>0.896</v>
      </c>
      <c r="I21" s="98" t="n">
        <v>0.91</v>
      </c>
      <c r="J21" s="71" t="inlineStr">
        <is>
          <t>Marjia (ConvNeXt-Tiny)</t>
        </is>
      </c>
    </row>
    <row r="22" ht="15.75" customHeight="1" s="65">
      <c r="A22" s="77" t="inlineStr">
        <is>
          <t>Pneumothorax</t>
        </is>
      </c>
      <c r="B22" s="79" t="n">
        <v>703</v>
      </c>
      <c r="C22" s="98" t="n">
        <v>0.766</v>
      </c>
      <c r="D22" s="98" t="n">
        <v>0.88</v>
      </c>
      <c r="E22" s="98" t="n">
        <v>0.821</v>
      </c>
      <c r="F22" s="98" t="n">
        <v>0.873</v>
      </c>
      <c r="G22" s="98" t="n">
        <v>0.881</v>
      </c>
      <c r="H22" s="98" t="n">
        <v>0.872</v>
      </c>
      <c r="I22" s="100" t="n">
        <v>0.91</v>
      </c>
      <c r="J22" s="71" t="inlineStr">
        <is>
          <t>RAD-DINO</t>
        </is>
      </c>
    </row>
    <row r="23" ht="15.75" customHeight="1" s="65">
      <c r="A23" s="77" t="inlineStr">
        <is>
          <t>Cardiomegaly</t>
        </is>
      </c>
      <c r="B23" s="79" t="n">
        <v>367</v>
      </c>
      <c r="C23" s="98" t="n">
        <v>0.885</v>
      </c>
      <c r="D23" s="98" t="n">
        <v>0.905</v>
      </c>
      <c r="E23" s="100" t="n">
        <v>0.908</v>
      </c>
      <c r="F23" s="98" t="n">
        <v>0.904</v>
      </c>
      <c r="G23" s="98" t="n">
        <v>0.883</v>
      </c>
      <c r="H23" s="98" t="n">
        <v>0.885</v>
      </c>
      <c r="I23" s="98" t="n">
        <v>0.901</v>
      </c>
      <c r="J23" s="71" t="inlineStr">
        <is>
          <t>Tanzil (DenseNet-121 improved)</t>
        </is>
      </c>
    </row>
    <row r="24" ht="15.75" customHeight="1" s="65">
      <c r="A24" s="77" t="inlineStr">
        <is>
          <t>Mass</t>
        </is>
      </c>
      <c r="B24" s="79" t="n">
        <v>848</v>
      </c>
      <c r="C24" s="98" t="n">
        <v>0.795</v>
      </c>
      <c r="D24" s="98" t="n">
        <v>0.853</v>
      </c>
      <c r="E24" s="98" t="n">
        <v>0.854</v>
      </c>
      <c r="F24" s="98" t="n">
        <v>0.875</v>
      </c>
      <c r="G24" s="98" t="n">
        <v>0.842</v>
      </c>
      <c r="H24" s="98" t="n">
        <v>0.827</v>
      </c>
      <c r="I24" s="100" t="n">
        <v>0.895</v>
      </c>
      <c r="J24" s="71" t="inlineStr">
        <is>
          <t>RAD-DINO</t>
        </is>
      </c>
    </row>
    <row r="25" ht="15.75" customHeight="1" s="65">
      <c r="A25" s="77" t="inlineStr">
        <is>
          <t>Effusion</t>
        </is>
      </c>
      <c r="B25" s="79" t="n">
        <v>1755</v>
      </c>
      <c r="C25" s="98" t="n">
        <v>0.835</v>
      </c>
      <c r="D25" s="98" t="n">
        <v>0.876</v>
      </c>
      <c r="E25" s="98" t="n">
        <v>0.868</v>
      </c>
      <c r="F25" s="98" t="n">
        <v>0.882</v>
      </c>
      <c r="G25" s="98" t="n">
        <v>0.867</v>
      </c>
      <c r="H25" s="98" t="n">
        <v>0.869</v>
      </c>
      <c r="I25" s="100" t="n">
        <v>0.885</v>
      </c>
      <c r="J25" s="71" t="inlineStr">
        <is>
          <t>RAD-DINO</t>
        </is>
      </c>
    </row>
    <row r="26" ht="15.75" customHeight="1" s="65">
      <c r="A26" s="77" t="inlineStr">
        <is>
          <t>Atelectasis</t>
        </is>
      </c>
      <c r="B26" s="79" t="n">
        <v>1685</v>
      </c>
      <c r="C26" s="98" t="n">
        <v>0.755</v>
      </c>
      <c r="D26" s="98" t="n">
        <v>0.806</v>
      </c>
      <c r="E26" s="98" t="n">
        <v>0.791</v>
      </c>
      <c r="F26" s="98" t="n">
        <v>0.823</v>
      </c>
      <c r="G26" s="98" t="n">
        <v>0.801</v>
      </c>
      <c r="H26" s="98" t="n">
        <v>0.791</v>
      </c>
      <c r="I26" s="100" t="n">
        <v>0.839</v>
      </c>
      <c r="J26" s="71" t="inlineStr">
        <is>
          <t>RAD-DINO</t>
        </is>
      </c>
    </row>
    <row r="27" ht="15.75" customHeight="1" s="65">
      <c r="A27" s="77" t="inlineStr">
        <is>
          <t>Fibrosis</t>
        </is>
      </c>
      <c r="B27" s="79" t="n">
        <v>228</v>
      </c>
      <c r="C27" s="98" t="n">
        <v>0.735</v>
      </c>
      <c r="D27" s="98" t="n">
        <v>0.799</v>
      </c>
      <c r="E27" s="98" t="n">
        <v>0.797</v>
      </c>
      <c r="F27" s="98" t="n">
        <v>0.798</v>
      </c>
      <c r="G27" s="98" t="n">
        <v>0.806</v>
      </c>
      <c r="H27" s="98" t="n">
        <v>0.789</v>
      </c>
      <c r="I27" s="100" t="n">
        <v>0.833</v>
      </c>
      <c r="J27" s="71" t="inlineStr">
        <is>
          <t>RAD-DINO</t>
        </is>
      </c>
    </row>
    <row r="28" ht="15.75" customHeight="1" s="65">
      <c r="A28" s="77" t="inlineStr">
        <is>
          <t>Nodule</t>
        </is>
      </c>
      <c r="B28" s="79" t="n">
        <v>894</v>
      </c>
      <c r="C28" s="98" t="n">
        <v>0.652</v>
      </c>
      <c r="D28" s="98" t="n">
        <v>0.754</v>
      </c>
      <c r="E28" s="98" t="n">
        <v>0.734</v>
      </c>
      <c r="F28" s="98" t="n">
        <v>0.787</v>
      </c>
      <c r="G28" s="98" t="n">
        <v>0.749</v>
      </c>
      <c r="H28" s="98" t="n">
        <v>0.696</v>
      </c>
      <c r="I28" s="100" t="n">
        <v>0.8129999999999999</v>
      </c>
      <c r="J28" s="71" t="inlineStr">
        <is>
          <t>RAD-DINO</t>
        </is>
      </c>
    </row>
    <row r="29" ht="15.75" customHeight="1" s="65">
      <c r="A29" s="77" t="inlineStr">
        <is>
          <t>Consolidation</t>
        </is>
      </c>
      <c r="B29" s="79" t="n">
        <v>563</v>
      </c>
      <c r="C29" s="98" t="n">
        <v>0.779</v>
      </c>
      <c r="D29" s="98" t="n">
        <v>0.783</v>
      </c>
      <c r="E29" s="98" t="n">
        <v>0.794</v>
      </c>
      <c r="F29" s="100" t="n">
        <v>0.799</v>
      </c>
      <c r="G29" s="98" t="n">
        <v>0.791</v>
      </c>
      <c r="H29" s="98" t="n">
        <v>0.767</v>
      </c>
      <c r="I29" s="98" t="n">
        <v>0.797</v>
      </c>
      <c r="J29" s="71" t="inlineStr">
        <is>
          <t>BioViL-T</t>
        </is>
      </c>
    </row>
    <row r="30" ht="15.75" customHeight="1" s="65">
      <c r="A30" s="77" t="inlineStr">
        <is>
          <t>Pleural Thickening</t>
        </is>
      </c>
      <c r="B30" s="79" t="n">
        <v>444</v>
      </c>
      <c r="C30" s="98" t="n">
        <v>0.726</v>
      </c>
      <c r="D30" s="98" t="n">
        <v>0.772</v>
      </c>
      <c r="E30" s="98" t="n">
        <v>0.746</v>
      </c>
      <c r="F30" s="98" t="n">
        <v>0.771</v>
      </c>
      <c r="G30" s="98" t="n">
        <v>0.749</v>
      </c>
      <c r="H30" s="98" t="n">
        <v>0.708</v>
      </c>
      <c r="I30" s="100" t="n">
        <v>0.79</v>
      </c>
      <c r="J30" s="71" t="inlineStr">
        <is>
          <t>RAD-DINO</t>
        </is>
      </c>
    </row>
    <row r="31" ht="15.75" customHeight="1" s="65">
      <c r="A31" s="77" t="inlineStr">
        <is>
          <t>Pneumonia</t>
        </is>
      </c>
      <c r="B31" s="79" t="n">
        <v>210</v>
      </c>
      <c r="C31" s="98" t="n">
        <v>0.704</v>
      </c>
      <c r="D31" s="98" t="n">
        <v>0.772</v>
      </c>
      <c r="E31" s="100" t="n">
        <v>0.775</v>
      </c>
      <c r="F31" s="98" t="n">
        <v>0.773</v>
      </c>
      <c r="G31" s="98" t="n">
        <v>0.733</v>
      </c>
      <c r="H31" s="98" t="n">
        <v>0.67</v>
      </c>
      <c r="I31" s="98" t="n">
        <v>0.729</v>
      </c>
      <c r="J31" s="71" t="inlineStr">
        <is>
          <t>Tanzil (DenseNet-121 improved)</t>
        </is>
      </c>
    </row>
    <row r="32" ht="15.75" customHeight="1" s="65">
      <c r="A32" s="77" t="inlineStr">
        <is>
          <t>Infiltration</t>
        </is>
      </c>
      <c r="B32" s="79" t="n">
        <v>2777</v>
      </c>
      <c r="C32" s="98" t="n">
        <v>0.664</v>
      </c>
      <c r="D32" s="100" t="n">
        <v>0.708</v>
      </c>
      <c r="E32" s="98" t="n">
        <v>0.695</v>
      </c>
      <c r="F32" s="98" t="n">
        <v>0.706</v>
      </c>
      <c r="G32" s="98" t="n">
        <v>0.702</v>
      </c>
      <c r="H32" s="98" t="n">
        <v>0.6879999999999999</v>
      </c>
      <c r="I32" s="98" t="n">
        <v>0.702</v>
      </c>
      <c r="J32" s="71" t="inlineStr">
        <is>
          <t>Marjia (ConvNeXt-Tiny)</t>
        </is>
      </c>
    </row>
    <row r="33" ht="25.5" customHeight="1" s="65">
      <c r="A33" s="67" t="inlineStr">
        <is>
          <t>Red rows = hardest diseases. RAD-DINO leads on 12 of the 14 diseases and reaches 0.851, above the logit-average ensemble of the first five models (0.849). Within the ConvNeXt family, bigger/higher resolution did not help: Tiny 0.831 &gt; Base 0.819 &gt; Small-384 0.806.</t>
        </is>
      </c>
    </row>
    <row r="34" ht="15.75" customHeight="1" s="65"/>
    <row r="35" ht="15.75" customHeight="1" s="65">
      <c r="A35" s="75" t="inlineStr">
        <is>
          <t>C. Per-disease F1</t>
        </is>
      </c>
      <c r="B35" s="76" t="n"/>
      <c r="C35" s="76" t="n"/>
      <c r="D35" s="76" t="n"/>
      <c r="E35" s="76" t="n"/>
      <c r="F35" s="76" t="n"/>
      <c r="G35" s="76" t="n"/>
      <c r="H35" s="76" t="n"/>
      <c r="I35" s="76" t="n"/>
      <c r="J35" s="76" t="n"/>
      <c r="K35" s="76" t="n"/>
      <c r="L35" s="76" t="n"/>
      <c r="M35" s="76" t="n"/>
      <c r="N35" s="76" t="n"/>
      <c r="O35" s="76" t="n"/>
      <c r="P35" s="76" t="n"/>
    </row>
    <row r="36" ht="45" customHeight="1" s="65">
      <c r="A36" s="69" t="inlineStr">
        <is>
          <t>Disease</t>
        </is>
      </c>
      <c r="B36" s="69" t="inlineStr">
        <is>
          <t>Test cases</t>
        </is>
      </c>
      <c r="C36" s="69" t="inlineStr">
        <is>
          <t>Hasib (DenseNet-121)</t>
        </is>
      </c>
      <c r="D36" s="69" t="inlineStr">
        <is>
          <t>Marjia (ConvNeXt-Tiny)</t>
        </is>
      </c>
      <c r="E36" s="69" t="inlineStr">
        <is>
          <t>Tanzil (DenseNet-121 improved)</t>
        </is>
      </c>
      <c r="F36" s="69" t="inlineStr">
        <is>
          <t>BioViL-T</t>
        </is>
      </c>
      <c r="G36" s="69" t="inlineStr">
        <is>
          <t>ConvNeXt-Base</t>
        </is>
      </c>
      <c r="H36" s="69" t="inlineStr">
        <is>
          <t>ConvNeXt-Small</t>
        </is>
      </c>
      <c r="I36" s="69" t="inlineStr">
        <is>
          <t>RAD-DINO</t>
        </is>
      </c>
      <c r="J36" s="69" t="inlineStr">
        <is>
          <t>Best model</t>
        </is>
      </c>
    </row>
    <row r="37" ht="15.75" customHeight="1" s="65">
      <c r="A37" s="77" t="inlineStr">
        <is>
          <t>Infiltration</t>
        </is>
      </c>
      <c r="B37" s="79" t="n">
        <v>2777</v>
      </c>
      <c r="C37" s="98" t="n">
        <v>0.34</v>
      </c>
      <c r="D37" s="100" t="n">
        <v>0.4</v>
      </c>
      <c r="E37" s="98" t="n">
        <v>0.39</v>
      </c>
      <c r="F37" s="100" t="n">
        <v>0.4</v>
      </c>
      <c r="G37" s="100" t="n">
        <v>0.4</v>
      </c>
      <c r="H37" s="98" t="n">
        <v>0.39</v>
      </c>
      <c r="I37" s="98" t="n">
        <v>0.39</v>
      </c>
      <c r="J37" s="71" t="inlineStr">
        <is>
          <t>Marjia (ConvNeXt-Tiny), BioViL-T, ConvNeXt-Base</t>
        </is>
      </c>
    </row>
    <row r="38" ht="15.75" customHeight="1" s="65">
      <c r="A38" s="77" t="inlineStr">
        <is>
          <t>Effusion</t>
        </is>
      </c>
      <c r="B38" s="79" t="n">
        <v>1755</v>
      </c>
      <c r="C38" s="98" t="n">
        <v>0.42</v>
      </c>
      <c r="D38" s="98" t="n">
        <v>0.52</v>
      </c>
      <c r="E38" s="98" t="n">
        <v>0.5</v>
      </c>
      <c r="F38" s="100" t="n">
        <v>0.54</v>
      </c>
      <c r="G38" s="98" t="n">
        <v>0.5</v>
      </c>
      <c r="H38" s="98" t="n">
        <v>0.47</v>
      </c>
      <c r="I38" s="98" t="n">
        <v>0.49</v>
      </c>
      <c r="J38" s="71" t="inlineStr">
        <is>
          <t>BioViL-T</t>
        </is>
      </c>
    </row>
    <row r="39" ht="15.75" customHeight="1" s="65">
      <c r="A39" s="77" t="inlineStr">
        <is>
          <t>Atelectasis</t>
        </is>
      </c>
      <c r="B39" s="79" t="n">
        <v>1685</v>
      </c>
      <c r="C39" s="98" t="n">
        <v>0.33</v>
      </c>
      <c r="D39" s="98" t="n">
        <v>0.4</v>
      </c>
      <c r="E39" s="98" t="n">
        <v>0.38</v>
      </c>
      <c r="F39" s="98" t="n">
        <v>0.42</v>
      </c>
      <c r="G39" s="98" t="n">
        <v>0.39</v>
      </c>
      <c r="H39" s="98" t="n">
        <v>0.37</v>
      </c>
      <c r="I39" s="100" t="n">
        <v>0.43</v>
      </c>
      <c r="J39" s="71" t="inlineStr">
        <is>
          <t>RAD-DINO</t>
        </is>
      </c>
    </row>
    <row r="40" ht="15.75" customHeight="1" s="65">
      <c r="A40" s="77" t="inlineStr">
        <is>
          <t>Nodule</t>
        </is>
      </c>
      <c r="B40" s="79" t="n">
        <v>894</v>
      </c>
      <c r="C40" s="98" t="n">
        <v>0.16</v>
      </c>
      <c r="D40" s="98" t="n">
        <v>0.29</v>
      </c>
      <c r="E40" s="98" t="n">
        <v>0.26</v>
      </c>
      <c r="F40" s="98" t="n">
        <v>0.34</v>
      </c>
      <c r="G40" s="98" t="n">
        <v>0.29</v>
      </c>
      <c r="H40" s="98" t="n">
        <v>0.24</v>
      </c>
      <c r="I40" s="100" t="n">
        <v>0.35</v>
      </c>
      <c r="J40" s="71" t="inlineStr">
        <is>
          <t>RAD-DINO</t>
        </is>
      </c>
    </row>
    <row r="41" ht="15.75" customHeight="1" s="65">
      <c r="A41" s="77" t="inlineStr">
        <is>
          <t>Mass</t>
        </is>
      </c>
      <c r="B41" s="79" t="n">
        <v>848</v>
      </c>
      <c r="C41" s="98" t="n">
        <v>0.28</v>
      </c>
      <c r="D41" s="98" t="n">
        <v>0.41</v>
      </c>
      <c r="E41" s="98" t="n">
        <v>0.41</v>
      </c>
      <c r="F41" s="100" t="n">
        <v>0.44</v>
      </c>
      <c r="G41" s="98" t="n">
        <v>0.4</v>
      </c>
      <c r="H41" s="98" t="n">
        <v>0.42</v>
      </c>
      <c r="I41" s="100" t="n">
        <v>0.44</v>
      </c>
      <c r="J41" s="71" t="inlineStr">
        <is>
          <t>BioViL-T, RAD-DINO</t>
        </is>
      </c>
    </row>
    <row r="42" ht="15.75" customHeight="1" s="65">
      <c r="A42" s="77" t="inlineStr">
        <is>
          <t>Pneumothorax</t>
        </is>
      </c>
      <c r="B42" s="79" t="n">
        <v>703</v>
      </c>
      <c r="C42" s="98" t="n">
        <v>0.18</v>
      </c>
      <c r="D42" s="98" t="n">
        <v>0.39</v>
      </c>
      <c r="E42" s="98" t="n">
        <v>0.29</v>
      </c>
      <c r="F42" s="98" t="n">
        <v>0.4</v>
      </c>
      <c r="G42" s="98" t="n">
        <v>0.39</v>
      </c>
      <c r="H42" s="98" t="n">
        <v>0.41</v>
      </c>
      <c r="I42" s="100" t="n">
        <v>0.46</v>
      </c>
      <c r="J42" s="71" t="inlineStr">
        <is>
          <t>RAD-DINO</t>
        </is>
      </c>
    </row>
    <row r="43" ht="15.75" customHeight="1" s="65">
      <c r="A43" s="77" t="inlineStr">
        <is>
          <t>Consolidation</t>
        </is>
      </c>
      <c r="B43" s="79" t="n">
        <v>563</v>
      </c>
      <c r="C43" s="98" t="n">
        <v>0.16</v>
      </c>
      <c r="D43" s="98" t="n">
        <v>0.19</v>
      </c>
      <c r="E43" s="98" t="n">
        <v>0.19</v>
      </c>
      <c r="F43" s="100" t="n">
        <v>0.21</v>
      </c>
      <c r="G43" s="98" t="n">
        <v>0.18</v>
      </c>
      <c r="H43" s="98" t="n">
        <v>0.02</v>
      </c>
      <c r="I43" s="98" t="n">
        <v>0.01</v>
      </c>
      <c r="J43" s="71" t="inlineStr">
        <is>
          <t>BioViL-T</t>
        </is>
      </c>
    </row>
    <row r="44" ht="15.75" customHeight="1" s="65">
      <c r="A44" s="77" t="inlineStr">
        <is>
          <t>Pleural Thickening</t>
        </is>
      </c>
      <c r="B44" s="79" t="n">
        <v>444</v>
      </c>
      <c r="C44" s="98" t="n">
        <v>0.11</v>
      </c>
      <c r="D44" s="98" t="n">
        <v>0.16</v>
      </c>
      <c r="E44" s="98" t="n">
        <v>0.17</v>
      </c>
      <c r="F44" s="100" t="n">
        <v>0.19</v>
      </c>
      <c r="G44" s="98" t="n">
        <v>0.16</v>
      </c>
      <c r="H44" s="98" t="n">
        <v>0.05</v>
      </c>
      <c r="I44" s="98" t="n">
        <v>0.16</v>
      </c>
      <c r="J44" s="71" t="inlineStr">
        <is>
          <t>BioViL-T</t>
        </is>
      </c>
    </row>
    <row r="45" ht="15.75" customHeight="1" s="65">
      <c r="A45" s="77" t="inlineStr">
        <is>
          <t>Cardiomegaly</t>
        </is>
      </c>
      <c r="B45" s="79" t="n">
        <v>367</v>
      </c>
      <c r="C45" s="98" t="n">
        <v>0.18</v>
      </c>
      <c r="D45" s="98" t="n">
        <v>0.3</v>
      </c>
      <c r="E45" s="98" t="n">
        <v>0.29</v>
      </c>
      <c r="F45" s="100" t="n">
        <v>0.31</v>
      </c>
      <c r="G45" s="98" t="n">
        <v>0.28</v>
      </c>
      <c r="H45" s="98" t="n">
        <v>0.27</v>
      </c>
      <c r="I45" s="98" t="n">
        <v>0.3</v>
      </c>
      <c r="J45" s="71" t="inlineStr">
        <is>
          <t>BioViL-T</t>
        </is>
      </c>
    </row>
    <row r="46" ht="15.75" customHeight="1" s="65">
      <c r="A46" s="77" t="inlineStr">
        <is>
          <t>Emphysema</t>
        </is>
      </c>
      <c r="B46" s="79" t="n">
        <v>351</v>
      </c>
      <c r="C46" s="98" t="n">
        <v>0.09</v>
      </c>
      <c r="D46" s="98" t="n">
        <v>0.39</v>
      </c>
      <c r="E46" s="98" t="n">
        <v>0.13</v>
      </c>
      <c r="F46" s="98" t="n">
        <v>0.37</v>
      </c>
      <c r="G46" s="98" t="n">
        <v>0.4</v>
      </c>
      <c r="H46" s="98" t="n">
        <v>0.41</v>
      </c>
      <c r="I46" s="100" t="n">
        <v>0.43</v>
      </c>
      <c r="J46" s="71" t="inlineStr">
        <is>
          <t>RAD-DINO</t>
        </is>
      </c>
    </row>
    <row r="47" ht="15.75" customHeight="1" s="65">
      <c r="A47" s="77" t="inlineStr">
        <is>
          <t>Edema</t>
        </is>
      </c>
      <c r="B47" s="79" t="n">
        <v>343</v>
      </c>
      <c r="C47" s="98" t="n">
        <v>0.15</v>
      </c>
      <c r="D47" s="100" t="n">
        <v>0.29</v>
      </c>
      <c r="E47" s="98" t="n">
        <v>0.23</v>
      </c>
      <c r="F47" s="98" t="n">
        <v>0.27</v>
      </c>
      <c r="G47" s="98" t="n">
        <v>0.27</v>
      </c>
      <c r="H47" s="98" t="n">
        <v>0.15</v>
      </c>
      <c r="I47" s="98" t="n">
        <v>0.2</v>
      </c>
      <c r="J47" s="71" t="inlineStr">
        <is>
          <t>Marjia (ConvNeXt-Tiny)</t>
        </is>
      </c>
    </row>
    <row r="48" ht="15.75" customHeight="1" s="65">
      <c r="A48" s="77" t="inlineStr">
        <is>
          <t>Fibrosis</t>
        </is>
      </c>
      <c r="B48" s="79" t="n">
        <v>228</v>
      </c>
      <c r="C48" s="98" t="n">
        <v>0.06</v>
      </c>
      <c r="D48" s="98" t="n">
        <v>0.16</v>
      </c>
      <c r="E48" s="98" t="n">
        <v>0.12</v>
      </c>
      <c r="F48" s="98" t="n">
        <v>0.17</v>
      </c>
      <c r="G48" s="98" t="n">
        <v>0.15</v>
      </c>
      <c r="H48" s="98" t="n">
        <v>0.08</v>
      </c>
      <c r="I48" s="100" t="n">
        <v>0.21</v>
      </c>
      <c r="J48" s="71" t="inlineStr">
        <is>
          <t>RAD-DINO</t>
        </is>
      </c>
    </row>
    <row r="49" ht="15.75" customHeight="1" s="65">
      <c r="A49" s="77" t="inlineStr">
        <is>
          <t>Pneumonia</t>
        </is>
      </c>
      <c r="B49" s="79" t="n">
        <v>210</v>
      </c>
      <c r="C49" s="98" t="n">
        <v>0.05</v>
      </c>
      <c r="D49" s="100" t="n">
        <v>0.11</v>
      </c>
      <c r="E49" s="98" t="n">
        <v>0.1</v>
      </c>
      <c r="F49" s="98" t="n">
        <v>0.09</v>
      </c>
      <c r="G49" s="98" t="n">
        <v>0.07000000000000001</v>
      </c>
      <c r="H49" s="98" t="n">
        <v>0.05</v>
      </c>
      <c r="I49" s="98" t="n">
        <v>0.01</v>
      </c>
      <c r="J49" s="71" t="inlineStr">
        <is>
          <t>Marjia (ConvNeXt-Tiny)</t>
        </is>
      </c>
    </row>
    <row r="50" ht="15.75" customHeight="1" s="65">
      <c r="A50" s="77" t="inlineStr">
        <is>
          <t>Hernia</t>
        </is>
      </c>
      <c r="B50" s="79" t="n">
        <v>62</v>
      </c>
      <c r="C50" s="98" t="n">
        <v>0.03</v>
      </c>
      <c r="D50" s="98" t="n">
        <v>0.22</v>
      </c>
      <c r="E50" s="98" t="n">
        <v>0.46</v>
      </c>
      <c r="F50" s="98" t="n">
        <v>0.39</v>
      </c>
      <c r="G50" s="98" t="n">
        <v>0.13</v>
      </c>
      <c r="H50" s="98" t="n">
        <v>0.4</v>
      </c>
      <c r="I50" s="100" t="n">
        <v>0.5600000000000001</v>
      </c>
      <c r="J50" s="71" t="inlineStr">
        <is>
          <t>RAD-DINO</t>
        </is>
      </c>
    </row>
    <row r="51" ht="25.5" customHeight="1" s="65">
      <c r="A51" s="67" t="inlineStr">
        <is>
          <t>Hasib: fixed 0.50. Marjia, Tanzil, BioViL-T, ConvNeXt-Base: tuned. ConvNeXt-Small and RAD-DINO: PPV&gt;=0.30 strategy (the only per-class breakdown in their logs), which understates both. RAD-DINO still has the best F1 on 9 of 14 diseases.</t>
        </is>
      </c>
    </row>
    <row r="52" ht="15.75" customHeight="1" s="65"/>
    <row r="53" ht="15.75" customHeight="1" s="65">
      <c r="A53" s="75" t="inlineStr">
        <is>
          <t>D. Per-disease precision</t>
        </is>
      </c>
      <c r="B53" s="76" t="n"/>
      <c r="C53" s="76" t="n"/>
      <c r="D53" s="76" t="n"/>
      <c r="E53" s="76" t="n"/>
      <c r="F53" s="76" t="n"/>
      <c r="G53" s="76" t="n"/>
      <c r="H53" s="76" t="n"/>
      <c r="I53" s="76" t="n"/>
      <c r="J53" s="76" t="n"/>
      <c r="K53" s="76" t="n"/>
      <c r="L53" s="76" t="n"/>
      <c r="M53" s="76" t="n"/>
      <c r="N53" s="76" t="n"/>
      <c r="O53" s="76" t="n"/>
      <c r="P53" s="76" t="n"/>
    </row>
    <row r="54" ht="45" customHeight="1" s="65">
      <c r="A54" s="69" t="inlineStr">
        <is>
          <t>Disease</t>
        </is>
      </c>
      <c r="B54" s="69" t="inlineStr">
        <is>
          <t>Test cases</t>
        </is>
      </c>
      <c r="C54" s="69" t="inlineStr">
        <is>
          <t>Hasib (DenseNet-121)</t>
        </is>
      </c>
      <c r="D54" s="69" t="inlineStr">
        <is>
          <t>Marjia (ConvNeXt-Tiny)</t>
        </is>
      </c>
      <c r="E54" s="69" t="inlineStr">
        <is>
          <t>Tanzil (DenseNet-121 improved)</t>
        </is>
      </c>
      <c r="F54" s="69" t="inlineStr">
        <is>
          <t>BioViL-T</t>
        </is>
      </c>
      <c r="G54" s="69" t="inlineStr">
        <is>
          <t>ConvNeXt-Base</t>
        </is>
      </c>
      <c r="H54" s="69" t="inlineStr">
        <is>
          <t>ConvNeXt-Small</t>
        </is>
      </c>
      <c r="I54" s="69" t="inlineStr">
        <is>
          <t>RAD-DINO</t>
        </is>
      </c>
      <c r="J54" s="69" t="inlineStr">
        <is>
          <t>Best model</t>
        </is>
      </c>
    </row>
    <row r="55" ht="15.75" customHeight="1" s="65">
      <c r="A55" s="77" t="inlineStr">
        <is>
          <t>Infiltration</t>
        </is>
      </c>
      <c r="B55" s="79" t="n">
        <v>2777</v>
      </c>
      <c r="C55" s="98" t="n">
        <v>0.32</v>
      </c>
      <c r="D55" s="100" t="n">
        <v>0.38</v>
      </c>
      <c r="E55" s="98" t="n">
        <v>0.33</v>
      </c>
      <c r="F55" s="98" t="n">
        <v>0.34</v>
      </c>
      <c r="G55" s="98" t="n">
        <v>0.32</v>
      </c>
      <c r="H55" s="98" t="n">
        <v>0.29</v>
      </c>
      <c r="I55" s="98" t="n">
        <v>0.28</v>
      </c>
      <c r="J55" s="71" t="inlineStr">
        <is>
          <t>Marjia (ConvNeXt-Tiny)</t>
        </is>
      </c>
    </row>
    <row r="56" ht="15.75" customHeight="1" s="65">
      <c r="A56" s="77" t="inlineStr">
        <is>
          <t>Effusion</t>
        </is>
      </c>
      <c r="B56" s="79" t="n">
        <v>1755</v>
      </c>
      <c r="C56" s="98" t="n">
        <v>0.3</v>
      </c>
      <c r="D56" s="98" t="n">
        <v>0.46</v>
      </c>
      <c r="E56" s="98" t="n">
        <v>0.42</v>
      </c>
      <c r="F56" s="100" t="n">
        <v>0.48</v>
      </c>
      <c r="G56" s="98" t="n">
        <v>0.45</v>
      </c>
      <c r="H56" s="98" t="n">
        <v>0.34</v>
      </c>
      <c r="I56" s="98" t="n">
        <v>0.34</v>
      </c>
      <c r="J56" s="71" t="inlineStr">
        <is>
          <t>BioViL-T</t>
        </is>
      </c>
    </row>
    <row r="57" ht="15.75" customHeight="1" s="65">
      <c r="A57" s="77" t="inlineStr">
        <is>
          <t>Atelectasis</t>
        </is>
      </c>
      <c r="B57" s="79" t="n">
        <v>1685</v>
      </c>
      <c r="C57" s="98" t="n">
        <v>0.24</v>
      </c>
      <c r="D57" s="98" t="n">
        <v>0.31</v>
      </c>
      <c r="E57" s="98" t="n">
        <v>0.31</v>
      </c>
      <c r="F57" s="100" t="n">
        <v>0.35</v>
      </c>
      <c r="G57" s="98" t="n">
        <v>0.31</v>
      </c>
      <c r="H57" s="98" t="n">
        <v>0.32</v>
      </c>
      <c r="I57" s="98" t="n">
        <v>0.32</v>
      </c>
      <c r="J57" s="71" t="inlineStr">
        <is>
          <t>BioViL-T</t>
        </is>
      </c>
    </row>
    <row r="58" ht="15.75" customHeight="1" s="65">
      <c r="A58" s="77" t="inlineStr">
        <is>
          <t>Nodule</t>
        </is>
      </c>
      <c r="B58" s="79" t="n">
        <v>894</v>
      </c>
      <c r="C58" s="98" t="n">
        <v>0.09</v>
      </c>
      <c r="D58" s="98" t="n">
        <v>0.28</v>
      </c>
      <c r="E58" s="98" t="n">
        <v>0.24</v>
      </c>
      <c r="F58" s="98" t="n">
        <v>0.31</v>
      </c>
      <c r="G58" s="98" t="n">
        <v>0.27</v>
      </c>
      <c r="H58" s="98" t="n">
        <v>0.31</v>
      </c>
      <c r="I58" s="100" t="n">
        <v>0.32</v>
      </c>
      <c r="J58" s="71" t="inlineStr">
        <is>
          <t>RAD-DINO</t>
        </is>
      </c>
    </row>
    <row r="59" ht="15.75" customHeight="1" s="65">
      <c r="A59" s="77" t="inlineStr">
        <is>
          <t>Mass</t>
        </is>
      </c>
      <c r="B59" s="79" t="n">
        <v>848</v>
      </c>
      <c r="C59" s="98" t="n">
        <v>0.19</v>
      </c>
      <c r="D59" s="98" t="n">
        <v>0.35</v>
      </c>
      <c r="E59" s="100" t="n">
        <v>0.41</v>
      </c>
      <c r="F59" s="98" t="n">
        <v>0.39</v>
      </c>
      <c r="G59" s="98" t="n">
        <v>0.4</v>
      </c>
      <c r="H59" s="98" t="n">
        <v>0.39</v>
      </c>
      <c r="I59" s="98" t="n">
        <v>0.34</v>
      </c>
      <c r="J59" s="71" t="inlineStr">
        <is>
          <t>Tanzil (DenseNet-121 improved)</t>
        </is>
      </c>
    </row>
    <row r="60" ht="15.75" customHeight="1" s="65">
      <c r="A60" s="77" t="inlineStr">
        <is>
          <t>Pneumothorax</t>
        </is>
      </c>
      <c r="B60" s="79" t="n">
        <v>703</v>
      </c>
      <c r="C60" s="98" t="n">
        <v>0.11</v>
      </c>
      <c r="D60" s="98" t="n">
        <v>0.32</v>
      </c>
      <c r="E60" s="98" t="n">
        <v>0.21</v>
      </c>
      <c r="F60" s="100" t="n">
        <v>0.37</v>
      </c>
      <c r="G60" s="98" t="n">
        <v>0.31</v>
      </c>
      <c r="H60" s="98" t="n">
        <v>0.36</v>
      </c>
      <c r="I60" s="98" t="n">
        <v>0.36</v>
      </c>
      <c r="J60" s="71" t="inlineStr">
        <is>
          <t>BioViL-T</t>
        </is>
      </c>
    </row>
    <row r="61" ht="15.75" customHeight="1" s="65">
      <c r="A61" s="77" t="inlineStr">
        <is>
          <t>Consolidation</t>
        </is>
      </c>
      <c r="B61" s="79" t="n">
        <v>563</v>
      </c>
      <c r="C61" s="98" t="n">
        <v>0.09</v>
      </c>
      <c r="D61" s="98" t="n">
        <v>0.12</v>
      </c>
      <c r="E61" s="98" t="n">
        <v>0.13</v>
      </c>
      <c r="F61" s="98" t="n">
        <v>0.14</v>
      </c>
      <c r="G61" s="98" t="n">
        <v>0.12</v>
      </c>
      <c r="H61" s="100" t="n">
        <v>0.19</v>
      </c>
      <c r="I61" s="98" t="n">
        <v>0.17</v>
      </c>
      <c r="J61" s="71" t="inlineStr">
        <is>
          <t>ConvNeXt-Small</t>
        </is>
      </c>
    </row>
    <row r="62" ht="15.75" customHeight="1" s="65">
      <c r="A62" s="77" t="inlineStr">
        <is>
          <t>Pleural Thickening</t>
        </is>
      </c>
      <c r="B62" s="79" t="n">
        <v>444</v>
      </c>
      <c r="C62" s="98" t="n">
        <v>0.06</v>
      </c>
      <c r="D62" s="98" t="n">
        <v>0.13</v>
      </c>
      <c r="E62" s="98" t="n">
        <v>0.12</v>
      </c>
      <c r="F62" s="98" t="n">
        <v>0.14</v>
      </c>
      <c r="G62" s="98" t="n">
        <v>0.13</v>
      </c>
      <c r="H62" s="98" t="n">
        <v>0.25</v>
      </c>
      <c r="I62" s="100" t="n">
        <v>0.27</v>
      </c>
      <c r="J62" s="71" t="inlineStr">
        <is>
          <t>RAD-DINO</t>
        </is>
      </c>
    </row>
    <row r="63" ht="15.75" customHeight="1" s="65">
      <c r="A63" s="77" t="inlineStr">
        <is>
          <t>Cardiomegaly</t>
        </is>
      </c>
      <c r="B63" s="79" t="n">
        <v>367</v>
      </c>
      <c r="C63" s="98" t="n">
        <v>0.1</v>
      </c>
      <c r="D63" s="98" t="n">
        <v>0.28</v>
      </c>
      <c r="E63" s="100" t="n">
        <v>0.3</v>
      </c>
      <c r="F63" s="100" t="n">
        <v>0.3</v>
      </c>
      <c r="G63" s="98" t="n">
        <v>0.26</v>
      </c>
      <c r="H63" s="98" t="n">
        <v>0.26</v>
      </c>
      <c r="I63" s="98" t="n">
        <v>0.28</v>
      </c>
      <c r="J63" s="71" t="inlineStr">
        <is>
          <t>Tanzil (DenseNet-121 improved), BioViL-T</t>
        </is>
      </c>
    </row>
    <row r="64" ht="15.75" customHeight="1" s="65">
      <c r="A64" s="77" t="inlineStr">
        <is>
          <t>Emphysema</t>
        </is>
      </c>
      <c r="B64" s="79" t="n">
        <v>351</v>
      </c>
      <c r="C64" s="98" t="n">
        <v>0.05</v>
      </c>
      <c r="D64" s="100" t="n">
        <v>0.38</v>
      </c>
      <c r="E64" s="98" t="n">
        <v>0.08</v>
      </c>
      <c r="F64" s="100" t="n">
        <v>0.38</v>
      </c>
      <c r="G64" s="98" t="n">
        <v>0.34</v>
      </c>
      <c r="H64" s="98" t="n">
        <v>0.3</v>
      </c>
      <c r="I64" s="98" t="n">
        <v>0.31</v>
      </c>
      <c r="J64" s="71" t="inlineStr">
        <is>
          <t>Marjia (ConvNeXt-Tiny), BioViL-T</t>
        </is>
      </c>
    </row>
    <row r="65" ht="15.75" customHeight="1" s="65">
      <c r="A65" s="77" t="inlineStr">
        <is>
          <t>Edema</t>
        </is>
      </c>
      <c r="B65" s="79" t="n">
        <v>343</v>
      </c>
      <c r="C65" s="98" t="n">
        <v>0.09</v>
      </c>
      <c r="D65" s="98" t="n">
        <v>0.23</v>
      </c>
      <c r="E65" s="98" t="n">
        <v>0.16</v>
      </c>
      <c r="F65" s="98" t="n">
        <v>0.22</v>
      </c>
      <c r="G65" s="98" t="n">
        <v>0.21</v>
      </c>
      <c r="H65" s="98" t="n">
        <v>0.32</v>
      </c>
      <c r="I65" s="100" t="n">
        <v>0.33</v>
      </c>
      <c r="J65" s="71" t="inlineStr">
        <is>
          <t>RAD-DINO</t>
        </is>
      </c>
    </row>
    <row r="66" ht="15.75" customHeight="1" s="65">
      <c r="A66" s="77" t="inlineStr">
        <is>
          <t>Fibrosis</t>
        </is>
      </c>
      <c r="B66" s="79" t="n">
        <v>228</v>
      </c>
      <c r="C66" s="98" t="n">
        <v>0.03</v>
      </c>
      <c r="D66" s="98" t="n">
        <v>0.14</v>
      </c>
      <c r="E66" s="98" t="n">
        <v>0.08</v>
      </c>
      <c r="F66" s="98" t="n">
        <v>0.14</v>
      </c>
      <c r="G66" s="98" t="n">
        <v>0.15</v>
      </c>
      <c r="H66" s="100" t="n">
        <v>0.28</v>
      </c>
      <c r="I66" s="98" t="n">
        <v>0.23</v>
      </c>
      <c r="J66" s="71" t="inlineStr">
        <is>
          <t>ConvNeXt-Small</t>
        </is>
      </c>
    </row>
    <row r="67" ht="15.75" customHeight="1" s="65">
      <c r="A67" s="77" t="inlineStr">
        <is>
          <t>Pneumonia</t>
        </is>
      </c>
      <c r="B67" s="79" t="n">
        <v>210</v>
      </c>
      <c r="C67" s="98" t="n">
        <v>0.03</v>
      </c>
      <c r="D67" s="98" t="n">
        <v>0.09</v>
      </c>
      <c r="E67" s="98" t="n">
        <v>0.06</v>
      </c>
      <c r="F67" s="98" t="n">
        <v>0.05</v>
      </c>
      <c r="G67" s="98" t="n">
        <v>0.07000000000000001</v>
      </c>
      <c r="H67" s="98" t="n">
        <v>0.07000000000000001</v>
      </c>
      <c r="I67" s="100" t="n">
        <v>0.5</v>
      </c>
      <c r="J67" s="71" t="inlineStr">
        <is>
          <t>RAD-DINO</t>
        </is>
      </c>
    </row>
    <row r="68" ht="15.75" customHeight="1" s="65">
      <c r="A68" s="77" t="inlineStr">
        <is>
          <t>Hernia</t>
        </is>
      </c>
      <c r="B68" s="79" t="n">
        <v>62</v>
      </c>
      <c r="C68" s="98" t="n">
        <v>0.02</v>
      </c>
      <c r="D68" s="98" t="n">
        <v>0.37</v>
      </c>
      <c r="E68" s="98" t="n">
        <v>0.4</v>
      </c>
      <c r="F68" s="98" t="n">
        <v>0.4</v>
      </c>
      <c r="G68" s="98" t="n">
        <v>0.16</v>
      </c>
      <c r="H68" s="98" t="n">
        <v>0.34</v>
      </c>
      <c r="I68" s="100" t="n">
        <v>0.47</v>
      </c>
      <c r="J68" s="71" t="inlineStr">
        <is>
          <t>RAD-DINO</t>
        </is>
      </c>
    </row>
    <row r="69" ht="15.75" customHeight="1" s="65"/>
    <row r="70" ht="15.75" customHeight="1" s="65">
      <c r="A70" s="75" t="inlineStr">
        <is>
          <t>E. Per-disease recall</t>
        </is>
      </c>
      <c r="B70" s="76" t="n"/>
      <c r="C70" s="76" t="n"/>
      <c r="D70" s="76" t="n"/>
      <c r="E70" s="76" t="n"/>
      <c r="F70" s="76" t="n"/>
      <c r="G70" s="76" t="n"/>
      <c r="H70" s="76" t="n"/>
      <c r="I70" s="76" t="n"/>
      <c r="J70" s="76" t="n"/>
      <c r="K70" s="76" t="n"/>
      <c r="L70" s="76" t="n"/>
      <c r="M70" s="76" t="n"/>
      <c r="N70" s="76" t="n"/>
      <c r="O70" s="76" t="n"/>
      <c r="P70" s="76" t="n"/>
    </row>
    <row r="71" ht="45" customHeight="1" s="65">
      <c r="A71" s="69" t="inlineStr">
        <is>
          <t>Disease</t>
        </is>
      </c>
      <c r="B71" s="69" t="inlineStr">
        <is>
          <t>Test cases</t>
        </is>
      </c>
      <c r="C71" s="69" t="inlineStr">
        <is>
          <t>Hasib (DenseNet-121)</t>
        </is>
      </c>
      <c r="D71" s="69" t="inlineStr">
        <is>
          <t>Marjia (ConvNeXt-Tiny)</t>
        </is>
      </c>
      <c r="E71" s="69" t="inlineStr">
        <is>
          <t>Tanzil (DenseNet-121 improved)</t>
        </is>
      </c>
      <c r="F71" s="69" t="inlineStr">
        <is>
          <t>BioViL-T</t>
        </is>
      </c>
      <c r="G71" s="69" t="inlineStr">
        <is>
          <t>ConvNeXt-Base</t>
        </is>
      </c>
      <c r="H71" s="69" t="inlineStr">
        <is>
          <t>ConvNeXt-Small</t>
        </is>
      </c>
      <c r="I71" s="69" t="inlineStr">
        <is>
          <t>RAD-DINO</t>
        </is>
      </c>
      <c r="J71" s="69" t="inlineStr">
        <is>
          <t>Best model</t>
        </is>
      </c>
    </row>
    <row r="72" ht="15.75" customHeight="1" s="65">
      <c r="A72" s="77" t="inlineStr">
        <is>
          <t>Infiltration</t>
        </is>
      </c>
      <c r="B72" s="79" t="n">
        <v>2777</v>
      </c>
      <c r="C72" s="98" t="n">
        <v>0.36</v>
      </c>
      <c r="D72" s="98" t="n">
        <v>0.43</v>
      </c>
      <c r="E72" s="98" t="n">
        <v>0.49</v>
      </c>
      <c r="F72" s="98" t="n">
        <v>0.49</v>
      </c>
      <c r="G72" s="98" t="n">
        <v>0.53</v>
      </c>
      <c r="H72" s="98" t="n">
        <v>0.58</v>
      </c>
      <c r="I72" s="100" t="n">
        <v>0.63</v>
      </c>
      <c r="J72" s="71" t="inlineStr">
        <is>
          <t>RAD-DINO</t>
        </is>
      </c>
    </row>
    <row r="73" ht="15.75" customHeight="1" s="65">
      <c r="A73" s="77" t="inlineStr">
        <is>
          <t>Effusion</t>
        </is>
      </c>
      <c r="B73" s="79" t="n">
        <v>1755</v>
      </c>
      <c r="C73" s="98" t="n">
        <v>0.74</v>
      </c>
      <c r="D73" s="98" t="n">
        <v>0.58</v>
      </c>
      <c r="E73" s="98" t="n">
        <v>0.63</v>
      </c>
      <c r="F73" s="98" t="n">
        <v>0.6</v>
      </c>
      <c r="G73" s="98" t="n">
        <v>0.5600000000000001</v>
      </c>
      <c r="H73" s="98" t="n">
        <v>0.76</v>
      </c>
      <c r="I73" s="100" t="n">
        <v>0.83</v>
      </c>
      <c r="J73" s="71" t="inlineStr">
        <is>
          <t>RAD-DINO</t>
        </is>
      </c>
    </row>
    <row r="74" ht="15.75" customHeight="1" s="65">
      <c r="A74" s="77" t="inlineStr">
        <is>
          <t>Atelectasis</t>
        </is>
      </c>
      <c r="B74" s="79" t="n">
        <v>1685</v>
      </c>
      <c r="C74" s="98" t="n">
        <v>0.55</v>
      </c>
      <c r="D74" s="98" t="n">
        <v>0.54</v>
      </c>
      <c r="E74" s="98" t="n">
        <v>0.48</v>
      </c>
      <c r="F74" s="98" t="n">
        <v>0.52</v>
      </c>
      <c r="G74" s="98" t="n">
        <v>0.52</v>
      </c>
      <c r="H74" s="98" t="n">
        <v>0.44</v>
      </c>
      <c r="I74" s="100" t="n">
        <v>0.66</v>
      </c>
      <c r="J74" s="71" t="inlineStr">
        <is>
          <t>RAD-DINO</t>
        </is>
      </c>
    </row>
    <row r="75" ht="15.75" customHeight="1" s="65">
      <c r="A75" s="77" t="inlineStr">
        <is>
          <t>Nodule</t>
        </is>
      </c>
      <c r="B75" s="79" t="n">
        <v>894</v>
      </c>
      <c r="C75" s="100" t="n">
        <v>0.49</v>
      </c>
      <c r="D75" s="98" t="n">
        <v>0.31</v>
      </c>
      <c r="E75" s="98" t="n">
        <v>0.29</v>
      </c>
      <c r="F75" s="98" t="n">
        <v>0.36</v>
      </c>
      <c r="G75" s="98" t="n">
        <v>0.31</v>
      </c>
      <c r="H75" s="98" t="n">
        <v>0.2</v>
      </c>
      <c r="I75" s="98" t="n">
        <v>0.4</v>
      </c>
      <c r="J75" s="71" t="inlineStr">
        <is>
          <t>Hasib (DenseNet-121)</t>
        </is>
      </c>
    </row>
    <row r="76" ht="15.75" customHeight="1" s="65">
      <c r="A76" s="77" t="inlineStr">
        <is>
          <t>Mass</t>
        </is>
      </c>
      <c r="B76" s="79" t="n">
        <v>848</v>
      </c>
      <c r="C76" s="98" t="n">
        <v>0.53</v>
      </c>
      <c r="D76" s="98" t="n">
        <v>0.5</v>
      </c>
      <c r="E76" s="98" t="n">
        <v>0.42</v>
      </c>
      <c r="F76" s="98" t="n">
        <v>0.52</v>
      </c>
      <c r="G76" s="98" t="n">
        <v>0.41</v>
      </c>
      <c r="H76" s="98" t="n">
        <v>0.45</v>
      </c>
      <c r="I76" s="100" t="n">
        <v>0.61</v>
      </c>
      <c r="J76" s="71" t="inlineStr">
        <is>
          <t>RAD-DINO</t>
        </is>
      </c>
    </row>
    <row r="77" ht="15.75" customHeight="1" s="65">
      <c r="A77" s="77" t="inlineStr">
        <is>
          <t>Pneumothorax</t>
        </is>
      </c>
      <c r="B77" s="79" t="n">
        <v>703</v>
      </c>
      <c r="C77" s="100" t="n">
        <v>0.65</v>
      </c>
      <c r="D77" s="98" t="n">
        <v>0.51</v>
      </c>
      <c r="E77" s="98" t="n">
        <v>0.46</v>
      </c>
      <c r="F77" s="98" t="n">
        <v>0.45</v>
      </c>
      <c r="G77" s="98" t="n">
        <v>0.51</v>
      </c>
      <c r="H77" s="98" t="n">
        <v>0.48</v>
      </c>
      <c r="I77" s="98" t="n">
        <v>0.64</v>
      </c>
      <c r="J77" s="71" t="inlineStr">
        <is>
          <t>Hasib (DenseNet-121)</t>
        </is>
      </c>
    </row>
    <row r="78" ht="15.75" customHeight="1" s="65">
      <c r="A78" s="77" t="inlineStr">
        <is>
          <t>Consolidation</t>
        </is>
      </c>
      <c r="B78" s="79" t="n">
        <v>563</v>
      </c>
      <c r="C78" s="100" t="n">
        <v>0.61</v>
      </c>
      <c r="D78" s="98" t="n">
        <v>0.42</v>
      </c>
      <c r="E78" s="98" t="n">
        <v>0.38</v>
      </c>
      <c r="F78" s="98" t="n">
        <v>0.39</v>
      </c>
      <c r="G78" s="98" t="n">
        <v>0.39</v>
      </c>
      <c r="H78" s="98" t="n">
        <v>0.01</v>
      </c>
      <c r="I78" s="98" t="n">
        <v>0</v>
      </c>
      <c r="J78" s="71" t="inlineStr">
        <is>
          <t>Hasib (DenseNet-121)</t>
        </is>
      </c>
    </row>
    <row r="79" ht="15.75" customHeight="1" s="65">
      <c r="A79" s="77" t="inlineStr">
        <is>
          <t>Pleural Thickening</t>
        </is>
      </c>
      <c r="B79" s="79" t="n">
        <v>444</v>
      </c>
      <c r="C79" s="100" t="n">
        <v>0.51</v>
      </c>
      <c r="D79" s="98" t="n">
        <v>0.21</v>
      </c>
      <c r="E79" s="98" t="n">
        <v>0.31</v>
      </c>
      <c r="F79" s="98" t="n">
        <v>0.32</v>
      </c>
      <c r="G79" s="98" t="n">
        <v>0.24</v>
      </c>
      <c r="H79" s="98" t="n">
        <v>0.03</v>
      </c>
      <c r="I79" s="98" t="n">
        <v>0.11</v>
      </c>
      <c r="J79" s="71" t="inlineStr">
        <is>
          <t>Hasib (DenseNet-121)</t>
        </is>
      </c>
    </row>
    <row r="80" ht="15.75" customHeight="1" s="65">
      <c r="A80" s="77" t="inlineStr">
        <is>
          <t>Cardiomegaly</t>
        </is>
      </c>
      <c r="B80" s="79" t="n">
        <v>367</v>
      </c>
      <c r="C80" s="100" t="n">
        <v>0.7</v>
      </c>
      <c r="D80" s="98" t="n">
        <v>0.32</v>
      </c>
      <c r="E80" s="98" t="n">
        <v>0.29</v>
      </c>
      <c r="F80" s="98" t="n">
        <v>0.33</v>
      </c>
      <c r="G80" s="98" t="n">
        <v>0.29</v>
      </c>
      <c r="H80" s="98" t="n">
        <v>0.28</v>
      </c>
      <c r="I80" s="98" t="n">
        <v>0.32</v>
      </c>
      <c r="J80" s="71" t="inlineStr">
        <is>
          <t>Hasib (DenseNet-121)</t>
        </is>
      </c>
    </row>
    <row r="81" ht="15.75" customHeight="1" s="65">
      <c r="A81" s="77" t="inlineStr">
        <is>
          <t>Emphysema</t>
        </is>
      </c>
      <c r="B81" s="79" t="n">
        <v>351</v>
      </c>
      <c r="C81" s="98" t="n">
        <v>0.45</v>
      </c>
      <c r="D81" s="98" t="n">
        <v>0.4</v>
      </c>
      <c r="E81" s="98" t="n">
        <v>0.27</v>
      </c>
      <c r="F81" s="98" t="n">
        <v>0.36</v>
      </c>
      <c r="G81" s="98" t="n">
        <v>0.49</v>
      </c>
      <c r="H81" s="98" t="n">
        <v>0.66</v>
      </c>
      <c r="I81" s="100" t="n">
        <v>0.74</v>
      </c>
      <c r="J81" s="71" t="inlineStr">
        <is>
          <t>RAD-DINO</t>
        </is>
      </c>
    </row>
    <row r="82" ht="15.75" customHeight="1" s="65">
      <c r="A82" s="77" t="inlineStr">
        <is>
          <t>Edema</t>
        </is>
      </c>
      <c r="B82" s="79" t="n">
        <v>343</v>
      </c>
      <c r="C82" s="100" t="n">
        <v>0.62</v>
      </c>
      <c r="D82" s="98" t="n">
        <v>0.4</v>
      </c>
      <c r="E82" s="98" t="n">
        <v>0.44</v>
      </c>
      <c r="F82" s="98" t="n">
        <v>0.35</v>
      </c>
      <c r="G82" s="98" t="n">
        <v>0.41</v>
      </c>
      <c r="H82" s="98" t="n">
        <v>0.1</v>
      </c>
      <c r="I82" s="98" t="n">
        <v>0.14</v>
      </c>
      <c r="J82" s="71" t="inlineStr">
        <is>
          <t>Hasib (DenseNet-121)</t>
        </is>
      </c>
    </row>
    <row r="83" ht="15.75" customHeight="1" s="65">
      <c r="A83" s="77" t="inlineStr">
        <is>
          <t>Fibrosis</t>
        </is>
      </c>
      <c r="B83" s="79" t="n">
        <v>228</v>
      </c>
      <c r="C83" s="100" t="n">
        <v>0.58</v>
      </c>
      <c r="D83" s="98" t="n">
        <v>0.21</v>
      </c>
      <c r="E83" s="98" t="n">
        <v>0.22</v>
      </c>
      <c r="F83" s="98" t="n">
        <v>0.21</v>
      </c>
      <c r="G83" s="98" t="n">
        <v>0.15</v>
      </c>
      <c r="H83" s="98" t="n">
        <v>0.05</v>
      </c>
      <c r="I83" s="98" t="n">
        <v>0.18</v>
      </c>
      <c r="J83" s="71" t="inlineStr">
        <is>
          <t>Hasib (DenseNet-121)</t>
        </is>
      </c>
    </row>
    <row r="84" ht="15.75" customHeight="1" s="65">
      <c r="A84" s="77" t="inlineStr">
        <is>
          <t>Pneumonia</t>
        </is>
      </c>
      <c r="B84" s="79" t="n">
        <v>210</v>
      </c>
      <c r="C84" s="100" t="n">
        <v>0.54</v>
      </c>
      <c r="D84" s="98" t="n">
        <v>0.16</v>
      </c>
      <c r="E84" s="98" t="n">
        <v>0.24</v>
      </c>
      <c r="F84" s="98" t="n">
        <v>0.24</v>
      </c>
      <c r="G84" s="98" t="n">
        <v>0.08</v>
      </c>
      <c r="H84" s="98" t="n">
        <v>0.04</v>
      </c>
      <c r="I84" s="98" t="n">
        <v>0.01</v>
      </c>
      <c r="J84" s="71" t="inlineStr">
        <is>
          <t>Hasib (DenseNet-121)</t>
        </is>
      </c>
    </row>
    <row r="85" ht="15.75" customHeight="1" s="65">
      <c r="A85" s="77" t="inlineStr">
        <is>
          <t>Hernia</t>
        </is>
      </c>
      <c r="B85" s="79" t="n">
        <v>62</v>
      </c>
      <c r="C85" s="98" t="n">
        <v>0.53</v>
      </c>
      <c r="D85" s="98" t="n">
        <v>0.16</v>
      </c>
      <c r="E85" s="98" t="n">
        <v>0.53</v>
      </c>
      <c r="F85" s="98" t="n">
        <v>0.39</v>
      </c>
      <c r="G85" s="98" t="n">
        <v>0.11</v>
      </c>
      <c r="H85" s="98" t="n">
        <v>0.5</v>
      </c>
      <c r="I85" s="100" t="n">
        <v>0.6899999999999999</v>
      </c>
      <c r="J85" s="71" t="inlineStr">
        <is>
          <t>RAD-DINO</t>
        </is>
      </c>
    </row>
    <row r="86" ht="15" customHeight="1" s="65">
      <c r="A86" s="67" t="inlineStr">
        <is>
          <t>Hasib's fixed 0.50 threshold gives high recall but very low precision; most other models were tuned for F1.</t>
        </is>
      </c>
    </row>
    <row r="87" ht="15.75" customHeight="1" s="65"/>
    <row r="88" ht="15.75" customHeight="1" s="65">
      <c r="A88" s="75" t="inlineStr">
        <is>
          <t>F. Key findings (team models)</t>
        </is>
      </c>
      <c r="B88" s="76" t="n"/>
      <c r="C88" s="76" t="n"/>
      <c r="D88" s="76" t="n"/>
      <c r="E88" s="76" t="n"/>
      <c r="F88" s="76" t="n"/>
      <c r="G88" s="76" t="n"/>
      <c r="H88" s="76" t="n"/>
      <c r="I88" s="76" t="n"/>
      <c r="J88" s="76" t="n"/>
      <c r="K88" s="76" t="n"/>
      <c r="L88" s="76" t="n"/>
      <c r="M88" s="76" t="n"/>
      <c r="N88" s="76" t="n"/>
      <c r="O88" s="76" t="n"/>
      <c r="P88" s="76" t="n"/>
    </row>
    <row r="89" ht="30" customHeight="1" s="65">
      <c r="A89" s="69" t="inlineStr">
        <is>
          <t>#</t>
        </is>
      </c>
      <c r="B89" s="69" t="inlineStr">
        <is>
          <t>Finding</t>
        </is>
      </c>
      <c r="C89" s="69" t="inlineStr">
        <is>
          <t>Evidence</t>
        </is>
      </c>
      <c r="D89" s="82" t="n"/>
      <c r="E89" s="82" t="n"/>
      <c r="F89" s="82" t="n"/>
      <c r="G89" s="82" t="n"/>
      <c r="H89" s="82" t="n"/>
      <c r="I89" s="82" t="n"/>
      <c r="J89" s="82" t="n"/>
      <c r="K89" s="82" t="n"/>
      <c r="L89" s="82" t="n"/>
      <c r="M89" s="82" t="n"/>
      <c r="N89" s="82" t="n"/>
      <c r="O89" s="82" t="n"/>
      <c r="P89" s="80" t="n"/>
    </row>
    <row r="90" ht="30" customHeight="1" s="65">
      <c r="A90" s="78" t="n">
        <v>1</v>
      </c>
      <c r="B90" s="71" t="inlineStr">
        <is>
          <t>RAD-DINO is the strongest model overall.</t>
        </is>
      </c>
      <c r="C90" s="71" t="inlineStr">
        <is>
          <t>Test macro AUROC 0.8513 vs BioViL-T 0.836, Marjia 0.831, ConvNeXt-Base 0.819, Tanzil 0.813, ConvNeXt-Small 0.806, Hasib 0.759. Also best macro F1 (0.360), AUPRC (0.295) and MCC (0.328).</t>
        </is>
      </c>
      <c r="D90" s="82" t="n"/>
      <c r="E90" s="82" t="n"/>
      <c r="F90" s="82" t="n"/>
      <c r="G90" s="82" t="n"/>
      <c r="H90" s="82" t="n"/>
      <c r="I90" s="82" t="n"/>
      <c r="J90" s="82" t="n"/>
      <c r="K90" s="82" t="n"/>
      <c r="L90" s="82" t="n"/>
      <c r="M90" s="82" t="n"/>
      <c r="N90" s="82" t="n"/>
      <c r="O90" s="82" t="n"/>
      <c r="P90" s="80" t="n"/>
    </row>
    <row r="91" ht="30" customHeight="1" s="65">
      <c r="A91" s="78" t="n">
        <v>2</v>
      </c>
      <c r="B91" s="71" t="inlineStr">
        <is>
          <t>Domain-specific pre-training is what moves the number.</t>
        </is>
      </c>
      <c r="C91" s="71" t="inlineStr">
        <is>
          <t>The two models pre-trained on medical data (RAD-DINO, BioViL-T) take the top two places. Every ImageNet-pretrained model sits between 0.806 and 0.831.</t>
        </is>
      </c>
      <c r="D91" s="82" t="n"/>
      <c r="E91" s="82" t="n"/>
      <c r="F91" s="82" t="n"/>
      <c r="G91" s="82" t="n"/>
      <c r="H91" s="82" t="n"/>
      <c r="I91" s="82" t="n"/>
      <c r="J91" s="82" t="n"/>
      <c r="K91" s="82" t="n"/>
      <c r="L91" s="82" t="n"/>
      <c r="M91" s="82" t="n"/>
      <c r="N91" s="82" t="n"/>
      <c r="O91" s="82" t="n"/>
      <c r="P91" s="80" t="n"/>
    </row>
    <row r="92" ht="30" customHeight="1" s="65">
      <c r="A92" s="78" t="n">
        <v>3</v>
      </c>
      <c r="B92" s="71" t="inlineStr">
        <is>
          <t>Bigger does not help within ConvNeXt.</t>
        </is>
      </c>
      <c r="C92" s="71" t="inlineStr">
        <is>
          <t>Tiny 0.831 &gt; Base 0.819 &gt; Small-384 0.806. With ~78k training images the larger models appear to overfit.</t>
        </is>
      </c>
      <c r="D92" s="82" t="n"/>
      <c r="E92" s="82" t="n"/>
      <c r="F92" s="82" t="n"/>
      <c r="G92" s="82" t="n"/>
      <c r="H92" s="82" t="n"/>
      <c r="I92" s="82" t="n"/>
      <c r="J92" s="82" t="n"/>
      <c r="K92" s="82" t="n"/>
      <c r="L92" s="82" t="n"/>
      <c r="M92" s="82" t="n"/>
      <c r="N92" s="82" t="n"/>
      <c r="O92" s="82" t="n"/>
      <c r="P92" s="80" t="n"/>
    </row>
    <row r="93" ht="30" customHeight="1" s="65">
      <c r="A93" s="78" t="n">
        <v>4</v>
      </c>
      <c r="B93" s="71" t="inlineStr">
        <is>
          <t>Hasib is the clear outlier.</t>
        </is>
      </c>
      <c r="C93" s="71" t="inlineStr">
        <is>
          <t>0.077 below the leader on AUROC, macro F1 0.18. Top four of the first five span only 0.023 AUROC.</t>
        </is>
      </c>
      <c r="D93" s="82" t="n"/>
      <c r="E93" s="82" t="n"/>
      <c r="F93" s="82" t="n"/>
      <c r="G93" s="82" t="n"/>
      <c r="H93" s="82" t="n"/>
      <c r="I93" s="82" t="n"/>
      <c r="J93" s="82" t="n"/>
      <c r="K93" s="82" t="n"/>
      <c r="L93" s="82" t="n"/>
      <c r="M93" s="82" t="n"/>
      <c r="N93" s="82" t="n"/>
      <c r="O93" s="82" t="n"/>
      <c r="P93" s="80" t="n"/>
    </row>
    <row r="94" ht="30" customHeight="1" s="65">
      <c r="A94" s="78" t="n">
        <v>5</v>
      </c>
      <c r="B94" s="71" t="inlineStr">
        <is>
          <t>Threshold tuning matters as much as the backbone.</t>
        </is>
      </c>
      <c r="C94" s="71" t="inlineStr">
        <is>
          <t>Hasib's fixed 0.50: recall ~0.56, precision 0.12. Tuning lifts BioViL-T F1 0.28 → 0.32 and ConvNeXt-Base 0.22 → 0.29.</t>
        </is>
      </c>
      <c r="D94" s="82" t="n"/>
      <c r="E94" s="82" t="n"/>
      <c r="F94" s="82" t="n"/>
      <c r="G94" s="82" t="n"/>
      <c r="H94" s="82" t="n"/>
      <c r="I94" s="82" t="n"/>
      <c r="J94" s="82" t="n"/>
      <c r="K94" s="82" t="n"/>
      <c r="L94" s="82" t="n"/>
      <c r="M94" s="82" t="n"/>
      <c r="N94" s="82" t="n"/>
      <c r="O94" s="82" t="n"/>
      <c r="P94" s="80" t="n"/>
    </row>
    <row r="95" ht="30" customHeight="1" s="65">
      <c r="A95" s="78" t="n">
        <v>6</v>
      </c>
      <c r="B95" s="71" t="inlineStr">
        <is>
          <t>RAD-DINO fixed Nodule.</t>
        </is>
      </c>
      <c r="C95" s="71" t="inlineStr">
        <is>
          <t>Nodule AUROC rises from 0.652 (Hasib) / 0.696 (ConvNeXt-Small) / 0.787 (BioViL-T) to 0.813. Fibrosis (0.833) and Pleural Thickening (0.790) improve too.</t>
        </is>
      </c>
      <c r="D95" s="82" t="n"/>
      <c r="E95" s="82" t="n"/>
      <c r="F95" s="82" t="n"/>
      <c r="G95" s="82" t="n"/>
      <c r="H95" s="82" t="n"/>
      <c r="I95" s="82" t="n"/>
      <c r="J95" s="82" t="n"/>
      <c r="K95" s="82" t="n"/>
      <c r="L95" s="82" t="n"/>
      <c r="M95" s="82" t="n"/>
      <c r="N95" s="82" t="n"/>
      <c r="O95" s="82" t="n"/>
      <c r="P95" s="80" t="n"/>
    </row>
    <row r="96" ht="30" customHeight="1" s="65">
      <c r="A96" s="78" t="n">
        <v>7</v>
      </c>
      <c r="B96" s="71" t="inlineStr">
        <is>
          <t>Infiltration is the wall nobody has broken.</t>
        </is>
      </c>
      <c r="C96" s="71" t="inlineStr">
        <is>
          <t>Best AUROC across all models is 0.708 (Marjia); it also has the lowest per-class accuracy (0.717–0.778).</t>
        </is>
      </c>
      <c r="D96" s="82" t="n"/>
      <c r="E96" s="82" t="n"/>
      <c r="F96" s="82" t="n"/>
      <c r="G96" s="82" t="n"/>
      <c r="H96" s="82" t="n"/>
      <c r="I96" s="82" t="n"/>
      <c r="J96" s="82" t="n"/>
      <c r="K96" s="82" t="n"/>
      <c r="L96" s="82" t="n"/>
      <c r="M96" s="82" t="n"/>
      <c r="N96" s="82" t="n"/>
      <c r="O96" s="82" t="n"/>
      <c r="P96" s="80" t="n"/>
    </row>
    <row r="97" ht="30" customHeight="1" s="65">
      <c r="A97" s="78" t="n">
        <v>8</v>
      </c>
      <c r="B97" s="71" t="inlineStr">
        <is>
          <t>Precision is the shared weak point.</t>
        </is>
      </c>
      <c r="C97" s="71" t="inlineStr">
        <is>
          <t>Best weighted precision is 0.34 (BioViL-T): most flagged cases would be false alarms.</t>
        </is>
      </c>
      <c r="D97" s="82" t="n"/>
      <c r="E97" s="82" t="n"/>
      <c r="F97" s="82" t="n"/>
      <c r="G97" s="82" t="n"/>
      <c r="H97" s="82" t="n"/>
      <c r="I97" s="82" t="n"/>
      <c r="J97" s="82" t="n"/>
      <c r="K97" s="82" t="n"/>
      <c r="L97" s="82" t="n"/>
      <c r="M97" s="82" t="n"/>
      <c r="N97" s="82" t="n"/>
      <c r="O97" s="82" t="n"/>
      <c r="P97" s="80" t="n"/>
    </row>
    <row r="98" ht="30" customHeight="1" s="65">
      <c r="A98" s="78" t="n">
        <v>9</v>
      </c>
      <c r="B98" s="71" t="inlineStr">
        <is>
          <t>AUPRC shows the task is harder than AUROC suggests.</t>
        </is>
      </c>
      <c r="C98" s="71" t="inlineStr">
        <is>
          <t>RAD-DINO macro AUPRC 0.295 vs AUROC 0.851. Pneumonia (0.044) and Consolidation (0.129) are barely detected in precision-recall terms.</t>
        </is>
      </c>
      <c r="D98" s="82" t="n"/>
      <c r="E98" s="82" t="n"/>
      <c r="F98" s="82" t="n"/>
      <c r="G98" s="82" t="n"/>
      <c r="H98" s="82" t="n"/>
      <c r="I98" s="82" t="n"/>
      <c r="J98" s="82" t="n"/>
      <c r="K98" s="82" t="n"/>
      <c r="L98" s="82" t="n"/>
      <c r="M98" s="82" t="n"/>
      <c r="N98" s="82" t="n"/>
      <c r="O98" s="82" t="n"/>
      <c r="P98" s="80" t="n"/>
    </row>
    <row r="99" ht="30" customHeight="1" s="65">
      <c r="A99" s="78" t="n">
        <v>10</v>
      </c>
      <c r="B99" s="71" t="inlineStr">
        <is>
          <t>Do not lead with accuracy.</t>
        </is>
      </c>
      <c r="C99" s="71" t="inlineStr">
        <is>
          <t>Predicting 'no disease' everywhere already gives ~0.90 Hamming accuracy.</t>
        </is>
      </c>
      <c r="D99" s="82" t="n"/>
      <c r="E99" s="82" t="n"/>
      <c r="F99" s="82" t="n"/>
      <c r="G99" s="82" t="n"/>
      <c r="H99" s="82" t="n"/>
      <c r="I99" s="82" t="n"/>
      <c r="J99" s="82" t="n"/>
      <c r="K99" s="82" t="n"/>
      <c r="L99" s="82" t="n"/>
      <c r="M99" s="82" t="n"/>
      <c r="N99" s="82" t="n"/>
      <c r="O99" s="82" t="n"/>
      <c r="P99" s="80" t="n"/>
    </row>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18">
    <mergeCell ref="A51:P51"/>
    <mergeCell ref="C96:P96"/>
    <mergeCell ref="C99:P99"/>
    <mergeCell ref="A33:P33"/>
    <mergeCell ref="C91:P91"/>
    <mergeCell ref="A1:P1"/>
    <mergeCell ref="A86:P86"/>
    <mergeCell ref="C92:P92"/>
    <mergeCell ref="C90:P90"/>
    <mergeCell ref="C95:P95"/>
    <mergeCell ref="C94:P94"/>
    <mergeCell ref="C98:P98"/>
    <mergeCell ref="A3:P3"/>
    <mergeCell ref="C93:P93"/>
    <mergeCell ref="A15:P15"/>
    <mergeCell ref="C89:P89"/>
    <mergeCell ref="C97:P97"/>
    <mergeCell ref="A2:P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115"/>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baseColWidth="8" defaultColWidth="14.43359375" defaultRowHeight="15" zeroHeight="0" outlineLevelRow="0"/>
  <cols>
    <col width="34" customWidth="1" style="64" min="1" max="1"/>
    <col width="13" customWidth="1" style="64" min="2" max="2"/>
    <col width="15" customWidth="1" style="64" min="3" max="3"/>
    <col width="13" customWidth="1" style="64" min="4" max="4"/>
    <col width="15" customWidth="1" style="64" min="5" max="5"/>
    <col width="13" customWidth="1" style="64" min="6" max="6"/>
    <col width="15" customWidth="1" style="64" min="7" max="7"/>
    <col width="13" customWidth="1" style="64" min="8" max="8"/>
    <col width="15" customWidth="1" style="64" min="9" max="9"/>
    <col width="13" customWidth="1" style="64" min="10" max="13"/>
    <col width="8.710000000000001" customWidth="1" style="64" min="14" max="26"/>
  </cols>
  <sheetData>
    <row r="1" ht="24" customHeight="1" s="65">
      <c r="A1" s="66" t="inlineStr">
        <is>
          <t>4. Official NIH Split — Final Results (seed 42)</t>
        </is>
      </c>
    </row>
    <row r="2" ht="30" customHeight="1" s="65">
      <c r="A2" s="67" t="inlineStr">
        <is>
          <t>Test = official NIH test list (25,596 images, 2,797 patients). One training seed (42), no TTA. Per-class Platt calibration and per-class F1-max thresholds fitted on validation only. 95% CI = patient-level bootstrap, 1,000 resamples. Source: results_s42 (T2, T3, T5).</t>
        </is>
      </c>
    </row>
    <row r="4" ht="15" customHeight="1" s="65">
      <c r="A4" s="75" t="inlineStr">
        <is>
          <t>A. Main results (test set)</t>
        </is>
      </c>
      <c r="B4" s="76" t="n"/>
      <c r="C4" s="76" t="n"/>
      <c r="D4" s="76" t="n"/>
      <c r="E4" s="76" t="n"/>
      <c r="F4" s="76" t="n"/>
      <c r="G4" s="76" t="n"/>
      <c r="H4" s="76" t="n"/>
      <c r="I4" s="76" t="n"/>
      <c r="J4" s="76" t="n"/>
      <c r="K4" s="76" t="n"/>
      <c r="L4" s="76" t="n"/>
      <c r="M4" s="76" t="n"/>
    </row>
    <row r="5" ht="45" customHeight="1" s="65">
      <c r="A5" s="69" t="inlineStr">
        <is>
          <t>System</t>
        </is>
      </c>
      <c r="B5" s="69" t="inlineStr">
        <is>
          <t>Macro AUROC</t>
        </is>
      </c>
      <c r="C5" s="69" t="inlineStr">
        <is>
          <t>95% CI</t>
        </is>
      </c>
      <c r="D5" s="69" t="inlineStr">
        <is>
          <t>Macro AUPRC</t>
        </is>
      </c>
      <c r="E5" s="69" t="inlineStr">
        <is>
          <t>95% CI</t>
        </is>
      </c>
      <c r="F5" s="69" t="inlineStr">
        <is>
          <t>Macro F1</t>
        </is>
      </c>
      <c r="G5" s="69" t="inlineStr">
        <is>
          <t>95% CI</t>
        </is>
      </c>
      <c r="H5" s="69" t="inlineStr">
        <is>
          <t>Micro F1</t>
        </is>
      </c>
      <c r="I5" s="69" t="inlineStr">
        <is>
          <t>95% CI</t>
        </is>
      </c>
      <c r="J5" s="69" t="inlineStr">
        <is>
          <t>Macro precision</t>
        </is>
      </c>
      <c r="K5" s="69" t="inlineStr">
        <is>
          <t>Macro recall</t>
        </is>
      </c>
      <c r="L5" s="69" t="inlineStr">
        <is>
          <t>Macro specificity</t>
        </is>
      </c>
      <c r="M5" s="69" t="inlineStr">
        <is>
          <t>ECE (lower = better)</t>
        </is>
      </c>
    </row>
    <row r="6" ht="15" customHeight="1" s="65">
      <c r="A6" s="77" t="inlineStr">
        <is>
          <t>CNN alone (ConvNeXt-Tiny)</t>
        </is>
      </c>
      <c r="B6" s="101" t="n">
        <v>0.826303894194635</v>
      </c>
      <c r="C6" s="77" t="inlineStr">
        <is>
          <t>0.820–0.832</t>
        </is>
      </c>
      <c r="D6" s="101" t="n">
        <v>0.298846753078612</v>
      </c>
      <c r="E6" s="77" t="inlineStr">
        <is>
          <t>0.285–0.315</t>
        </is>
      </c>
      <c r="F6" s="101" t="n">
        <v>0.353910159186117</v>
      </c>
      <c r="G6" s="77" t="inlineStr">
        <is>
          <t>0.334–0.369</t>
        </is>
      </c>
      <c r="H6" s="101" t="n">
        <v>0.417170004344353</v>
      </c>
      <c r="I6" s="77" t="inlineStr">
        <is>
          <t>0.409–0.425</t>
        </is>
      </c>
      <c r="J6" s="101" t="n">
        <v>0.318840957530018</v>
      </c>
      <c r="K6" s="101" t="n">
        <v>0.430420317736759</v>
      </c>
      <c r="L6" s="101" t="n">
        <v>0.903960653489702</v>
      </c>
      <c r="M6" s="101" t="n">
        <v>0.0117265486686971</v>
      </c>
    </row>
    <row r="7" ht="15" customHeight="1" s="65">
      <c r="A7" s="77" t="inlineStr">
        <is>
          <t>RAD-DINO alone</t>
        </is>
      </c>
      <c r="B7" s="101" t="n">
        <v>0.836386109952279</v>
      </c>
      <c r="C7" s="77" t="inlineStr">
        <is>
          <t>0.830–0.842</t>
        </is>
      </c>
      <c r="D7" s="101" t="n">
        <v>0.322322274143313</v>
      </c>
      <c r="E7" s="77" t="inlineStr">
        <is>
          <t>0.310–0.337</t>
        </is>
      </c>
      <c r="F7" s="101" t="n">
        <v>0.378779775215721</v>
      </c>
      <c r="G7" s="77" t="inlineStr">
        <is>
          <t>0.365–0.390</t>
        </is>
      </c>
      <c r="H7" s="101" t="n">
        <v>0.431707049063238</v>
      </c>
      <c r="I7" s="77" t="inlineStr">
        <is>
          <t>0.424–0.439</t>
        </is>
      </c>
      <c r="J7" s="101" t="n">
        <v>0.336186775690901</v>
      </c>
      <c r="K7" s="102" t="n">
        <v>0.461560276812893</v>
      </c>
      <c r="L7" s="101" t="n">
        <v>0.902172768730104</v>
      </c>
      <c r="M7" s="101" t="n">
        <v>0.0106104804353303</v>
      </c>
    </row>
    <row r="8" ht="15" customHeight="1" s="65">
      <c r="A8" s="77" t="inlineStr">
        <is>
          <t>Average of both (every image)</t>
        </is>
      </c>
      <c r="B8" s="102" t="n">
        <v>0.842777708802811</v>
      </c>
      <c r="C8" s="77" t="inlineStr">
        <is>
          <t>0.837–0.848</t>
        </is>
      </c>
      <c r="D8" s="102" t="n">
        <v>0.329184722201499</v>
      </c>
      <c r="E8" s="77" t="inlineStr">
        <is>
          <t>0.316–0.343</t>
        </is>
      </c>
      <c r="F8" s="102" t="n">
        <v>0.381789772742632</v>
      </c>
      <c r="G8" s="77" t="inlineStr">
        <is>
          <t>0.367–0.393</t>
        </is>
      </c>
      <c r="H8" s="102" t="n">
        <v>0.442112457461805</v>
      </c>
      <c r="I8" s="77" t="inlineStr">
        <is>
          <t>0.434–0.449</t>
        </is>
      </c>
      <c r="J8" s="102" t="n">
        <v>0.341148711015149</v>
      </c>
      <c r="K8" s="101" t="n">
        <v>0.456106884808289</v>
      </c>
      <c r="L8" s="102" t="n">
        <v>0.909194307386236</v>
      </c>
      <c r="M8" s="102" t="n">
        <v>0.0103266730526559</v>
      </c>
    </row>
    <row r="9" ht="15" customHeight="1" s="65">
      <c r="A9" s="103" t="inlineStr">
        <is>
          <t>Cascade t = 0.80 (selected on val)</t>
        </is>
      </c>
      <c r="B9" s="104" t="n">
        <v>0.832475142784691</v>
      </c>
      <c r="C9" s="103" t="inlineStr">
        <is>
          <t>0.826–0.838</t>
        </is>
      </c>
      <c r="D9" s="104" t="n">
        <v>0.31761424342498</v>
      </c>
      <c r="E9" s="103" t="inlineStr">
        <is>
          <t>0.305–0.332</t>
        </is>
      </c>
      <c r="F9" s="104" t="n">
        <v>0.370882366098188</v>
      </c>
      <c r="G9" s="103" t="inlineStr">
        <is>
          <t>0.356–0.382</t>
        </is>
      </c>
      <c r="H9" s="104" t="n">
        <v>0.4273452125078</v>
      </c>
      <c r="I9" s="103" t="inlineStr">
        <is>
          <t>0.419–0.435</t>
        </is>
      </c>
      <c r="J9" s="104" t="n">
        <v>0.340104851620221</v>
      </c>
      <c r="K9" s="104" t="n">
        <v>0.445413867527925</v>
      </c>
      <c r="L9" s="104" t="n">
        <v>0.903616311357784</v>
      </c>
      <c r="M9" s="104" t="n">
        <v>0.0112925174264904</v>
      </c>
    </row>
    <row r="10" ht="25.5" customHeight="1" s="65">
      <c r="A10" s="67" t="inlineStr">
        <is>
          <t>Green = best in the column. Highlighted row = the cascade selected on validation (sheet 5). The average of both models is best on AUROC, AUPRC and F1 but runs both models on every image.</t>
        </is>
      </c>
    </row>
    <row r="12" ht="15" customHeight="1" s="65">
      <c r="A12" s="75" t="inlineStr">
        <is>
          <t>B. Is the difference real? (paired patient-level bootstrap, Holm-corrected)</t>
        </is>
      </c>
      <c r="B12" s="76" t="n"/>
      <c r="C12" s="76" t="n"/>
      <c r="D12" s="76" t="n"/>
      <c r="E12" s="76" t="n"/>
      <c r="F12" s="76" t="n"/>
      <c r="G12" s="76" t="n"/>
      <c r="H12" s="76" t="n"/>
      <c r="I12" s="76" t="n"/>
      <c r="J12" s="76" t="n"/>
      <c r="K12" s="76" t="n"/>
      <c r="L12" s="76" t="n"/>
      <c r="M12" s="76" t="n"/>
    </row>
    <row r="13" ht="30" customHeight="1" s="65">
      <c r="A13" s="69" t="inlineStr">
        <is>
          <t>Comparison (A − B)</t>
        </is>
      </c>
      <c r="B13" s="69" t="inlineStr">
        <is>
          <t>Metric</t>
        </is>
      </c>
      <c r="C13" s="69" t="inlineStr">
        <is>
          <t>Difference</t>
        </is>
      </c>
      <c r="D13" s="69" t="inlineStr">
        <is>
          <t>95% CI</t>
        </is>
      </c>
      <c r="E13" s="69" t="inlineStr">
        <is>
          <t>Relative %</t>
        </is>
      </c>
      <c r="F13" s="69" t="inlineStr">
        <is>
          <t>Holm p</t>
        </is>
      </c>
      <c r="G13" s="69" t="inlineStr">
        <is>
          <t>Significant?</t>
        </is>
      </c>
    </row>
    <row r="14" ht="15" customHeight="1" s="65">
      <c r="A14" s="77" t="inlineStr">
        <is>
          <t>RAD-DINO alone − CNN alone</t>
        </is>
      </c>
      <c r="B14" s="77" t="inlineStr">
        <is>
          <t>Macro AUROC</t>
        </is>
      </c>
      <c r="C14" s="105" t="n">
        <v>0.0100822157576432</v>
      </c>
      <c r="D14" s="77" t="inlineStr">
        <is>
          <t>+0.0063 to +0.0140</t>
        </is>
      </c>
      <c r="E14" s="106" t="n">
        <v>0.0122015832534227</v>
      </c>
      <c r="F14" s="98" t="n">
        <v>0.0059940059940059</v>
      </c>
      <c r="G14" s="77" t="inlineStr">
        <is>
          <t>Yes</t>
        </is>
      </c>
    </row>
    <row r="15" ht="15" customHeight="1" s="65">
      <c r="A15" s="77" t="inlineStr">
        <is>
          <t>Average of both − CNN alone</t>
        </is>
      </c>
      <c r="B15" s="77" t="inlineStr">
        <is>
          <t>Macro AUROC</t>
        </is>
      </c>
      <c r="C15" s="105" t="n">
        <v>0.0164738146081759</v>
      </c>
      <c r="D15" s="77" t="inlineStr">
        <is>
          <t>+0.0139 to +0.0193</t>
        </is>
      </c>
      <c r="E15" s="106" t="n">
        <v>0.0199367505392581</v>
      </c>
      <c r="F15" s="98" t="n">
        <v>0.0059940059940059</v>
      </c>
      <c r="G15" s="77" t="inlineStr">
        <is>
          <t>Yes</t>
        </is>
      </c>
    </row>
    <row r="16" ht="15" customHeight="1" s="65">
      <c r="A16" s="77" t="inlineStr">
        <is>
          <t>Cascade t = 0.80 − CNN alone</t>
        </is>
      </c>
      <c r="B16" s="77" t="inlineStr">
        <is>
          <t>Macro AUROC</t>
        </is>
      </c>
      <c r="C16" s="105" t="n">
        <v>0.0061712485900553</v>
      </c>
      <c r="D16" s="77" t="inlineStr">
        <is>
          <t>+0.0034 to +0.0089</t>
        </is>
      </c>
      <c r="E16" s="106" t="n">
        <v>0.00746849752665177</v>
      </c>
      <c r="F16" s="98" t="n">
        <v>0.0059940059940059</v>
      </c>
      <c r="G16" s="77" t="inlineStr">
        <is>
          <t>Yes</t>
        </is>
      </c>
    </row>
    <row r="17" ht="15" customHeight="1" s="65">
      <c r="A17" s="77" t="inlineStr">
        <is>
          <t>Average of both − RAD-DINO alone</t>
        </is>
      </c>
      <c r="B17" s="77" t="inlineStr">
        <is>
          <t>Macro AUROC</t>
        </is>
      </c>
      <c r="C17" s="105" t="n">
        <v>0.0063915988505327</v>
      </c>
      <c r="D17" s="77" t="inlineStr">
        <is>
          <t>+0.0049 to +0.0079</t>
        </is>
      </c>
      <c r="E17" s="106" t="n">
        <v>0.00764192371738148</v>
      </c>
      <c r="F17" s="98" t="n">
        <v>0.0059940059940059</v>
      </c>
      <c r="G17" s="77" t="inlineStr">
        <is>
          <t>Yes</t>
        </is>
      </c>
    </row>
    <row r="18" ht="15" customHeight="1" s="65">
      <c r="A18" s="77" t="inlineStr">
        <is>
          <t>Cascade t = 0.80 − RAD-DINO alone</t>
        </is>
      </c>
      <c r="B18" s="77" t="inlineStr">
        <is>
          <t>Macro AUROC</t>
        </is>
      </c>
      <c r="C18" s="105" t="n">
        <v>-0.0039109671675878</v>
      </c>
      <c r="D18" s="77" t="inlineStr">
        <is>
          <t>-0.0065 to -0.0017</t>
        </is>
      </c>
      <c r="E18" s="106" t="n">
        <v>-0.0046760307483</v>
      </c>
      <c r="F18" s="98" t="n">
        <v>0.0059940059940059</v>
      </c>
      <c r="G18" s="77" t="inlineStr">
        <is>
          <t>Yes</t>
        </is>
      </c>
    </row>
    <row r="19" ht="15" customHeight="1" s="65">
      <c r="A19" s="77" t="inlineStr">
        <is>
          <t>Cascade t = 0.80 − Average of both</t>
        </is>
      </c>
      <c r="B19" s="77" t="inlineStr">
        <is>
          <t>Macro AUROC</t>
        </is>
      </c>
      <c r="C19" s="105" t="n">
        <v>-0.0103025660181206</v>
      </c>
      <c r="D19" s="77" t="inlineStr">
        <is>
          <t>-0.0129 to -0.0084</t>
        </is>
      </c>
      <c r="E19" s="106" t="n">
        <v>-0.0122245354979259</v>
      </c>
      <c r="F19" s="98" t="n">
        <v>0.0059940059940059</v>
      </c>
      <c r="G19" s="77" t="inlineStr">
        <is>
          <t>Yes</t>
        </is>
      </c>
    </row>
    <row r="20" ht="15" customHeight="1" s="65">
      <c r="A20" s="77" t="inlineStr">
        <is>
          <t>RAD-DINO alone − CNN alone</t>
        </is>
      </c>
      <c r="B20" s="77" t="inlineStr">
        <is>
          <t>Macro AUPRC</t>
        </is>
      </c>
      <c r="C20" s="105" t="n">
        <v>0.0234755210647008</v>
      </c>
      <c r="D20" s="77" t="inlineStr">
        <is>
          <t>+0.0131 to +0.0339</t>
        </is>
      </c>
      <c r="E20" s="106" t="n">
        <v>0.0785537096283111</v>
      </c>
      <c r="F20" s="98" t="n">
        <v>0.0059940059940059</v>
      </c>
      <c r="G20" s="77" t="inlineStr">
        <is>
          <t>Yes</t>
        </is>
      </c>
    </row>
    <row r="21" ht="15.75" customHeight="1" s="65">
      <c r="A21" s="77" t="inlineStr">
        <is>
          <t>Average of both − CNN alone</t>
        </is>
      </c>
      <c r="B21" s="77" t="inlineStr">
        <is>
          <t>Macro AUPRC</t>
        </is>
      </c>
      <c r="C21" s="105" t="n">
        <v>0.0303379691228869</v>
      </c>
      <c r="D21" s="77" t="inlineStr">
        <is>
          <t>+0.0229 to +0.0379</t>
        </is>
      </c>
      <c r="E21" s="106" t="n">
        <v>0.101516810239215</v>
      </c>
      <c r="F21" s="98" t="n">
        <v>0.0059940059940059</v>
      </c>
      <c r="G21" s="77" t="inlineStr">
        <is>
          <t>Yes</t>
        </is>
      </c>
    </row>
    <row r="22" ht="15.75" customHeight="1" s="65">
      <c r="A22" s="77" t="inlineStr">
        <is>
          <t>Cascade t = 0.80 − CNN alone</t>
        </is>
      </c>
      <c r="B22" s="77" t="inlineStr">
        <is>
          <t>Macro AUPRC</t>
        </is>
      </c>
      <c r="C22" s="105" t="n">
        <v>0.0187674903463683</v>
      </c>
      <c r="D22" s="77" t="inlineStr">
        <is>
          <t>+0.0099 to +0.0290</t>
        </is>
      </c>
      <c r="E22" s="106" t="n">
        <v>0.0627997130737826</v>
      </c>
      <c r="F22" s="98" t="n">
        <v>0.0059940059940059</v>
      </c>
      <c r="G22" s="77" t="inlineStr">
        <is>
          <t>Yes</t>
        </is>
      </c>
    </row>
    <row r="23" ht="15.75" customHeight="1" s="65">
      <c r="A23" s="77" t="inlineStr">
        <is>
          <t>Average of both − RAD-DINO alone</t>
        </is>
      </c>
      <c r="B23" s="77" t="inlineStr">
        <is>
          <t>Macro AUPRC</t>
        </is>
      </c>
      <c r="C23" s="105" t="n">
        <v>0.006862448058186</v>
      </c>
      <c r="D23" s="77" t="inlineStr">
        <is>
          <t>+0.0028 to +0.0113</t>
        </is>
      </c>
      <c r="E23" s="106" t="n">
        <v>0.0212906417231807</v>
      </c>
      <c r="F23" s="98" t="n">
        <v>0.0059940059940059</v>
      </c>
      <c r="G23" s="77" t="inlineStr">
        <is>
          <t>Yes</t>
        </is>
      </c>
    </row>
    <row r="24" ht="15.75" customHeight="1" s="65">
      <c r="A24" s="77" t="inlineStr">
        <is>
          <t>Cascade t = 0.80 − RAD-DINO alone</t>
        </is>
      </c>
      <c r="B24" s="77" t="inlineStr">
        <is>
          <t>Macro AUPRC</t>
        </is>
      </c>
      <c r="C24" s="105" t="n">
        <v>-0.0047080307183324</v>
      </c>
      <c r="D24" s="77" t="inlineStr">
        <is>
          <t>-0.0085 to -0.0012</t>
        </is>
      </c>
      <c r="E24" s="106" t="n">
        <v>-0.0146065943808747</v>
      </c>
      <c r="F24" s="98" t="n">
        <v>0.01</v>
      </c>
      <c r="G24" s="77" t="inlineStr">
        <is>
          <t>Yes</t>
        </is>
      </c>
    </row>
    <row r="25" ht="15.75" customHeight="1" s="65">
      <c r="A25" s="77" t="inlineStr">
        <is>
          <t>Cascade t = 0.80 − Average of both</t>
        </is>
      </c>
      <c r="B25" s="77" t="inlineStr">
        <is>
          <t>Macro AUPRC</t>
        </is>
      </c>
      <c r="C25" s="105" t="n">
        <v>-0.0115704787765185</v>
      </c>
      <c r="D25" s="77" t="inlineStr">
        <is>
          <t>-0.0151 to -0.0077</t>
        </is>
      </c>
      <c r="E25" s="106" t="n">
        <v>-0.0351488936033797</v>
      </c>
      <c r="F25" s="98" t="n">
        <v>0.0059940059940059</v>
      </c>
      <c r="G25" s="77" t="inlineStr">
        <is>
          <t>Yes</t>
        </is>
      </c>
    </row>
    <row r="26" ht="15.75" customHeight="1" s="65">
      <c r="A26" s="77" t="inlineStr">
        <is>
          <t>RAD-DINO alone − CNN alone</t>
        </is>
      </c>
      <c r="B26" s="77" t="inlineStr">
        <is>
          <t>Macro F1</t>
        </is>
      </c>
      <c r="C26" s="105" t="n">
        <v>0.0248696160296038</v>
      </c>
      <c r="D26" s="77" t="inlineStr">
        <is>
          <t>+0.0108 to +0.0390</t>
        </is>
      </c>
      <c r="E26" s="106" t="n">
        <v>0.07027098653171231</v>
      </c>
      <c r="F26" s="98" t="n">
        <v>0.0059940059940059</v>
      </c>
      <c r="G26" s="77" t="inlineStr">
        <is>
          <t>Yes</t>
        </is>
      </c>
    </row>
    <row r="27" ht="15.75" customHeight="1" s="65">
      <c r="A27" s="77" t="inlineStr">
        <is>
          <t>Average of both − CNN alone</t>
        </is>
      </c>
      <c r="B27" s="77" t="inlineStr">
        <is>
          <t>Macro F1</t>
        </is>
      </c>
      <c r="C27" s="105" t="n">
        <v>0.0278796135565144</v>
      </c>
      <c r="D27" s="77" t="inlineStr">
        <is>
          <t>+0.0175 to +0.0407</t>
        </is>
      </c>
      <c r="E27" s="106" t="n">
        <v>0.0787759628619559</v>
      </c>
      <c r="F27" s="98" t="n">
        <v>0.0059940059940059</v>
      </c>
      <c r="G27" s="77" t="inlineStr">
        <is>
          <t>Yes</t>
        </is>
      </c>
    </row>
    <row r="28" ht="15.75" customHeight="1" s="65">
      <c r="A28" s="77" t="inlineStr">
        <is>
          <t>Cascade t = 0.80 − CNN alone</t>
        </is>
      </c>
      <c r="B28" s="77" t="inlineStr">
        <is>
          <t>Macro F1</t>
        </is>
      </c>
      <c r="C28" s="105" t="n">
        <v>0.0169722069120709</v>
      </c>
      <c r="D28" s="77" t="inlineStr">
        <is>
          <t>+0.0028 to +0.0301</t>
        </is>
      </c>
      <c r="E28" s="106" t="n">
        <v>0.0479562580263357</v>
      </c>
      <c r="F28" s="98" t="n">
        <v>0.024</v>
      </c>
      <c r="G28" s="77" t="inlineStr">
        <is>
          <t>Yes</t>
        </is>
      </c>
    </row>
    <row r="29" ht="15.75" customHeight="1" s="65">
      <c r="A29" s="77" t="inlineStr">
        <is>
          <t>Average of both − RAD-DINO alone</t>
        </is>
      </c>
      <c r="B29" s="77" t="inlineStr">
        <is>
          <t>Macro F1</t>
        </is>
      </c>
      <c r="C29" s="105" t="n">
        <v>0.0030099975269106</v>
      </c>
      <c r="D29" s="77" t="inlineStr">
        <is>
          <t>-0.0019 to +0.0085</t>
        </is>
      </c>
      <c r="E29" s="106" t="n">
        <v>0.00794656347529756</v>
      </c>
      <c r="F29" s="98" t="n">
        <v>0.256</v>
      </c>
      <c r="G29" s="107" t="inlineStr">
        <is>
          <t>No</t>
        </is>
      </c>
    </row>
    <row r="30" ht="15.75" customHeight="1" s="65">
      <c r="A30" s="77" t="inlineStr">
        <is>
          <t>Cascade t = 0.80 − RAD-DINO alone</t>
        </is>
      </c>
      <c r="B30" s="77" t="inlineStr">
        <is>
          <t>Macro F1</t>
        </is>
      </c>
      <c r="C30" s="105" t="n">
        <v>-0.007897409117532801</v>
      </c>
      <c r="D30" s="77" t="inlineStr">
        <is>
          <t>-0.0122 to -0.0039</t>
        </is>
      </c>
      <c r="E30" s="106" t="n">
        <v>-0.020849606114886</v>
      </c>
      <c r="F30" s="98" t="n">
        <v>0.0059940059940059</v>
      </c>
      <c r="G30" s="77" t="inlineStr">
        <is>
          <t>Yes</t>
        </is>
      </c>
    </row>
    <row r="31" ht="15.75" customHeight="1" s="65">
      <c r="A31" s="77" t="inlineStr">
        <is>
          <t>Cascade t = 0.80 − Average of both</t>
        </is>
      </c>
      <c r="B31" s="77" t="inlineStr">
        <is>
          <t>Macro F1</t>
        </is>
      </c>
      <c r="C31" s="105" t="n">
        <v>-0.0109074066444435</v>
      </c>
      <c r="D31" s="77" t="inlineStr">
        <is>
          <t>-0.0174 to -0.0053</t>
        </is>
      </c>
      <c r="E31" s="106" t="n">
        <v>-0.0285691430812535</v>
      </c>
      <c r="F31" s="98" t="n">
        <v>0.0059940059940059</v>
      </c>
      <c r="G31" s="77" t="inlineStr">
        <is>
          <t>Yes</t>
        </is>
      </c>
    </row>
    <row r="32" ht="15.75" customHeight="1" s="65">
      <c r="A32" s="77" t="inlineStr">
        <is>
          <t>RAD-DINO alone − CNN alone</t>
        </is>
      </c>
      <c r="B32" s="77" t="inlineStr">
        <is>
          <t>Micro F1</t>
        </is>
      </c>
      <c r="C32" s="105" t="n">
        <v>0.0145370447188852</v>
      </c>
      <c r="D32" s="77" t="inlineStr">
        <is>
          <t>+0.0104 to +0.0187</t>
        </is>
      </c>
      <c r="E32" s="106" t="n">
        <v>0.0348468120130843</v>
      </c>
      <c r="F32" s="98" t="n">
        <v>0.0059940059940059</v>
      </c>
      <c r="G32" s="77" t="inlineStr">
        <is>
          <t>Yes</t>
        </is>
      </c>
    </row>
    <row r="33" ht="15.75" customHeight="1" s="65">
      <c r="A33" s="77" t="inlineStr">
        <is>
          <t>Average of both − CNN alone</t>
        </is>
      </c>
      <c r="B33" s="77" t="inlineStr">
        <is>
          <t>Micro F1</t>
        </is>
      </c>
      <c r="C33" s="105" t="n">
        <v>0.0249424531174515</v>
      </c>
      <c r="D33" s="77" t="inlineStr">
        <is>
          <t>+0.0217 to +0.0283</t>
        </is>
      </c>
      <c r="E33" s="106" t="n">
        <v>0.0597896609480648</v>
      </c>
      <c r="F33" s="98" t="n">
        <v>0.0059940059940059</v>
      </c>
      <c r="G33" s="77" t="inlineStr">
        <is>
          <t>Yes</t>
        </is>
      </c>
    </row>
    <row r="34" ht="15.75" customHeight="1" s="65">
      <c r="A34" s="77" t="inlineStr">
        <is>
          <t>Cascade t = 0.80 − CNN alone</t>
        </is>
      </c>
      <c r="B34" s="77" t="inlineStr">
        <is>
          <t>Micro F1</t>
        </is>
      </c>
      <c r="C34" s="105" t="n">
        <v>0.010175208163447</v>
      </c>
      <c r="D34" s="77" t="inlineStr">
        <is>
          <t>+0.0061 to +0.0145</t>
        </is>
      </c>
      <c r="E34" s="106" t="n">
        <v>0.02439103496772</v>
      </c>
      <c r="F34" s="98" t="n">
        <v>0.0059940059940059</v>
      </c>
      <c r="G34" s="77" t="inlineStr">
        <is>
          <t>Yes</t>
        </is>
      </c>
    </row>
    <row r="35" ht="15.75" customHeight="1" s="65">
      <c r="A35" s="77" t="inlineStr">
        <is>
          <t>Average of both − RAD-DINO alone</t>
        </is>
      </c>
      <c r="B35" s="77" t="inlineStr">
        <is>
          <t>Micro F1</t>
        </is>
      </c>
      <c r="C35" s="105" t="n">
        <v>0.0104054083985663</v>
      </c>
      <c r="D35" s="77" t="inlineStr">
        <is>
          <t>+0.0073 to +0.0134</t>
        </is>
      </c>
      <c r="E35" s="106" t="n">
        <v>0.0241029383725493</v>
      </c>
      <c r="F35" s="98" t="n">
        <v>0.0059940059940059</v>
      </c>
      <c r="G35" s="77" t="inlineStr">
        <is>
          <t>Yes</t>
        </is>
      </c>
    </row>
    <row r="36" ht="15.75" customHeight="1" s="65">
      <c r="A36" s="77" t="inlineStr">
        <is>
          <t>Cascade t = 0.80 − RAD-DINO alone</t>
        </is>
      </c>
      <c r="B36" s="77" t="inlineStr">
        <is>
          <t>Micro F1</t>
        </is>
      </c>
      <c r="C36" s="105" t="n">
        <v>-0.0043618365554382</v>
      </c>
      <c r="D36" s="77" t="inlineStr">
        <is>
          <t>-0.0063 to -0.0025</t>
        </is>
      </c>
      <c r="E36" s="106" t="n">
        <v>-0.0101036954687281</v>
      </c>
      <c r="F36" s="98" t="n">
        <v>0.0059940059940059</v>
      </c>
      <c r="G36" s="77" t="inlineStr">
        <is>
          <t>Yes</t>
        </is>
      </c>
    </row>
    <row r="37" ht="15.75" customHeight="1" s="65">
      <c r="A37" s="77" t="inlineStr">
        <is>
          <t>Cascade t = 0.80 − Average of both</t>
        </is>
      </c>
      <c r="B37" s="77" t="inlineStr">
        <is>
          <t>Micro F1</t>
        </is>
      </c>
      <c r="C37" s="105" t="n">
        <v>-0.0147672449540045</v>
      </c>
      <c r="D37" s="77" t="inlineStr">
        <is>
          <t>-0.0182 to -0.0113</t>
        </is>
      </c>
      <c r="E37" s="106" t="n">
        <v>-0.0334015581437905</v>
      </c>
      <c r="F37" s="98" t="n">
        <v>0.0059940059940059</v>
      </c>
      <c r="G37" s="77" t="inlineStr">
        <is>
          <t>Yes</t>
        </is>
      </c>
    </row>
    <row r="38" ht="25.5" customHeight="1" s="65">
      <c r="A38" s="67" t="inlineStr">
        <is>
          <t>Significant = CI excludes 0 and Holm p &lt; 0.05. With 25,596 paired images even small gaps are significant: the cascade is 0.004 AUROC and 0.008 macro F1 below RAD-DINO alone. Yellow = not significant (average vs RAD-DINO on macro F1).</t>
        </is>
      </c>
    </row>
    <row r="39" ht="15.75" customHeight="1" s="65"/>
    <row r="40" ht="15.75" customHeight="1" s="65">
      <c r="A40" s="75" t="inlineStr">
        <is>
          <t>C. Validation vs test (macro values) — every system drops on the official test set</t>
        </is>
      </c>
      <c r="B40" s="76" t="n"/>
      <c r="C40" s="76" t="n"/>
      <c r="D40" s="76" t="n"/>
      <c r="E40" s="76" t="n"/>
      <c r="F40" s="76" t="n"/>
      <c r="G40" s="76" t="n"/>
      <c r="H40" s="76" t="n"/>
      <c r="I40" s="76" t="n"/>
      <c r="J40" s="76" t="n"/>
      <c r="K40" s="76" t="n"/>
      <c r="L40" s="76" t="n"/>
      <c r="M40" s="76" t="n"/>
    </row>
    <row r="41" ht="30" customHeight="1" s="65">
      <c r="A41" s="69" t="inlineStr">
        <is>
          <t>System</t>
        </is>
      </c>
      <c r="B41" s="69" t="inlineStr">
        <is>
          <t>Val AUROC</t>
        </is>
      </c>
      <c r="C41" s="69" t="inlineStr">
        <is>
          <t>Test AUROC</t>
        </is>
      </c>
      <c r="D41" s="69" t="inlineStr">
        <is>
          <t>Change</t>
        </is>
      </c>
      <c r="E41" s="69" t="inlineStr">
        <is>
          <t>Val F1</t>
        </is>
      </c>
      <c r="F41" s="69" t="inlineStr">
        <is>
          <t>Test F1</t>
        </is>
      </c>
      <c r="G41" s="69" t="inlineStr">
        <is>
          <t>Change</t>
        </is>
      </c>
    </row>
    <row r="42" ht="15.75" customHeight="1" s="65">
      <c r="A42" s="77" t="inlineStr">
        <is>
          <t>CNN alone (ConvNeXt-Tiny)</t>
        </is>
      </c>
      <c r="B42" s="101" t="n">
        <v>0.859775255039285</v>
      </c>
      <c r="C42" s="101" t="n">
        <v>0.826303894194635</v>
      </c>
      <c r="D42" s="105">
        <f>C42-B42</f>
        <v>-0.03347136084465</v>
      </c>
      <c r="E42" s="101" t="n">
        <v>0.350512716389298</v>
      </c>
      <c r="F42" s="101" t="n">
        <v>0.353910159186117</v>
      </c>
      <c r="G42" s="105">
        <f>F42-E42</f>
        <v>0.00339744279681903</v>
      </c>
    </row>
    <row r="43" ht="15.75" customHeight="1" s="65">
      <c r="A43" s="77" t="inlineStr">
        <is>
          <t>RAD-DINO alone</t>
        </is>
      </c>
      <c r="B43" s="101" t="n">
        <v>0.865113145281588</v>
      </c>
      <c r="C43" s="101" t="n">
        <v>0.836386109952279</v>
      </c>
      <c r="D43" s="105">
        <f>C43-B43</f>
        <v>-0.028727035329309</v>
      </c>
      <c r="E43" s="101" t="n">
        <v>0.372182263706806</v>
      </c>
      <c r="F43" s="101" t="n">
        <v>0.378779775215721</v>
      </c>
      <c r="G43" s="105">
        <f>F43-E43</f>
        <v>0.00659751150891497</v>
      </c>
    </row>
    <row r="44" ht="15.75" customHeight="1" s="65">
      <c r="A44" s="77" t="inlineStr">
        <is>
          <t>Average of both (every image)</t>
        </is>
      </c>
      <c r="B44" s="101" t="n">
        <v>0.873509965102683</v>
      </c>
      <c r="C44" s="101" t="n">
        <v>0.842777708802811</v>
      </c>
      <c r="D44" s="105">
        <f>C44-B44</f>
        <v>-0.030732256299872</v>
      </c>
      <c r="E44" s="101" t="n">
        <v>0.372736275861788</v>
      </c>
      <c r="F44" s="101" t="n">
        <v>0.381789772742632</v>
      </c>
      <c r="G44" s="105">
        <f>F44-E44</f>
        <v>0.009053496880844</v>
      </c>
    </row>
    <row r="45" ht="15.75" customHeight="1" s="65">
      <c r="A45" s="77" t="inlineStr">
        <is>
          <t>Cascade t = 0.80 (selected on val)</t>
        </is>
      </c>
      <c r="B45" s="101" t="n">
        <v>0.863764295696577</v>
      </c>
      <c r="C45" s="101" t="n">
        <v>0.832475142784691</v>
      </c>
      <c r="D45" s="105">
        <f>C45-B45</f>
        <v>-0.0312891529118859</v>
      </c>
      <c r="E45" s="101" t="n">
        <v>0.366294616930995</v>
      </c>
      <c r="F45" s="101" t="n">
        <v>0.370882366098188</v>
      </c>
      <c r="G45" s="105">
        <f>F45-E45</f>
        <v>0.00458774916719296</v>
      </c>
    </row>
    <row r="46" ht="25.5" customHeight="1" s="65">
      <c r="A46" s="67" t="inlineStr">
        <is>
          <t>AUROC falls by about 0.03 for every system: this is the harder official test set (sheet 1, section C), not a cascade problem. F1 rises slightly because the test set has higher prevalence, which makes F1 easier.</t>
        </is>
      </c>
    </row>
    <row r="47" ht="15.75" customHeight="1" s="65"/>
    <row r="48" ht="15.75" customHeight="1" s="65">
      <c r="A48" s="75" t="inlineStr">
        <is>
          <t>D. Per-disease AUROC (test)</t>
        </is>
      </c>
      <c r="B48" s="76" t="n"/>
      <c r="C48" s="76" t="n"/>
      <c r="D48" s="76" t="n"/>
      <c r="E48" s="76" t="n"/>
      <c r="F48" s="76" t="n"/>
      <c r="G48" s="76" t="n"/>
      <c r="H48" s="76" t="n"/>
      <c r="I48" s="76" t="n"/>
      <c r="J48" s="76" t="n"/>
      <c r="K48" s="76" t="n"/>
      <c r="L48" s="76" t="n"/>
      <c r="M48" s="76" t="n"/>
    </row>
    <row r="49" ht="30" customHeight="1" s="65">
      <c r="A49" s="69" t="inlineStr">
        <is>
          <t>Disease</t>
        </is>
      </c>
      <c r="B49" s="69" t="inlineStr">
        <is>
          <t>Test cases</t>
        </is>
      </c>
      <c r="C49" s="69" t="inlineStr">
        <is>
          <t>Prevalence</t>
        </is>
      </c>
      <c r="D49" s="69" t="inlineStr">
        <is>
          <t>CNN alone</t>
        </is>
      </c>
      <c r="E49" s="69" t="inlineStr">
        <is>
          <t>RAD-DINO alone</t>
        </is>
      </c>
      <c r="F49" s="69" t="inlineStr">
        <is>
          <t>Average of both</t>
        </is>
      </c>
      <c r="G49" s="69" t="inlineStr">
        <is>
          <t>Cascade</t>
        </is>
      </c>
    </row>
    <row r="50" ht="15.75" customHeight="1" s="65">
      <c r="A50" s="77" t="inlineStr">
        <is>
          <t>Infiltration</t>
        </is>
      </c>
      <c r="B50" s="79" t="n">
        <v>6112</v>
      </c>
      <c r="C50" s="85" t="n">
        <v>0.238787310517268</v>
      </c>
      <c r="D50" s="98" t="n">
        <v>0.708985519129134</v>
      </c>
      <c r="E50" s="98" t="n">
        <v>0.709427173967954</v>
      </c>
      <c r="F50" s="100" t="n">
        <v>0.716840547143797</v>
      </c>
      <c r="G50" s="98" t="n">
        <v>0.707508908168442</v>
      </c>
    </row>
    <row r="51" ht="15.75" customHeight="1" s="65">
      <c r="A51" s="77" t="inlineStr">
        <is>
          <t>Effusion</t>
        </is>
      </c>
      <c r="B51" s="79" t="n">
        <v>4658</v>
      </c>
      <c r="C51" s="85" t="n">
        <v>0.18198155961869</v>
      </c>
      <c r="D51" s="98" t="n">
        <v>0.83933057117948</v>
      </c>
      <c r="E51" s="98" t="n">
        <v>0.8425047845156211</v>
      </c>
      <c r="F51" s="100" t="n">
        <v>0.847769894646121</v>
      </c>
      <c r="G51" s="98" t="n">
        <v>0.841645036906074</v>
      </c>
    </row>
    <row r="52" ht="15.75" customHeight="1" s="65">
      <c r="A52" s="77" t="inlineStr">
        <is>
          <t>Atelectasis</t>
        </is>
      </c>
      <c r="B52" s="79" t="n">
        <v>3279</v>
      </c>
      <c r="C52" s="85" t="n">
        <v>0.128105954055321</v>
      </c>
      <c r="D52" s="98" t="n">
        <v>0.790464665457086</v>
      </c>
      <c r="E52" s="98" t="n">
        <v>0.798024433567595</v>
      </c>
      <c r="F52" s="100" t="n">
        <v>0.804333891524469</v>
      </c>
      <c r="G52" s="98" t="n">
        <v>0.79487515708905</v>
      </c>
    </row>
    <row r="53" ht="15.75" customHeight="1" s="65">
      <c r="A53" s="77" t="inlineStr">
        <is>
          <t>Pneumothorax</t>
        </is>
      </c>
      <c r="B53" s="79" t="n">
        <v>2665</v>
      </c>
      <c r="C53" s="85" t="n">
        <v>0.10411783091108</v>
      </c>
      <c r="D53" s="98" t="n">
        <v>0.882294022944926</v>
      </c>
      <c r="E53" s="98" t="n">
        <v>0.904079887922189</v>
      </c>
      <c r="F53" s="100" t="n">
        <v>0.905309590571208</v>
      </c>
      <c r="G53" s="98" t="n">
        <v>0.901730110798993</v>
      </c>
    </row>
    <row r="54" ht="15.75" customHeight="1" s="65">
      <c r="A54" s="77" t="inlineStr">
        <is>
          <t>Consolidation</t>
        </is>
      </c>
      <c r="B54" s="79" t="n">
        <v>1815</v>
      </c>
      <c r="C54" s="85" t="n">
        <v>0.0709095171120487</v>
      </c>
      <c r="D54" s="98" t="n">
        <v>0.760601102600254</v>
      </c>
      <c r="E54" s="98" t="n">
        <v>0.760837916882276</v>
      </c>
      <c r="F54" s="100" t="n">
        <v>0.771987579963772</v>
      </c>
      <c r="G54" s="98" t="n">
        <v>0.760032287275197</v>
      </c>
    </row>
    <row r="55" ht="15.75" customHeight="1" s="65">
      <c r="A55" s="77" t="inlineStr">
        <is>
          <t>Mass</t>
        </is>
      </c>
      <c r="B55" s="79" t="n">
        <v>1748</v>
      </c>
      <c r="C55" s="85" t="n">
        <v>0.0682919206125957</v>
      </c>
      <c r="D55" s="98" t="n">
        <v>0.845843961124498</v>
      </c>
      <c r="E55" s="98" t="n">
        <v>0.851296879186027</v>
      </c>
      <c r="F55" s="100" t="n">
        <v>0.859836386550364</v>
      </c>
      <c r="G55" s="98" t="n">
        <v>0.847982169395493</v>
      </c>
    </row>
    <row r="56" ht="15.75" customHeight="1" s="65">
      <c r="A56" s="77" t="inlineStr">
        <is>
          <t>Nodule</t>
        </is>
      </c>
      <c r="B56" s="79" t="n">
        <v>1623</v>
      </c>
      <c r="C56" s="85" t="n">
        <v>0.0634083450539146</v>
      </c>
      <c r="D56" s="98" t="n">
        <v>0.798056007709844</v>
      </c>
      <c r="E56" s="98" t="n">
        <v>0.8030155818908919</v>
      </c>
      <c r="F56" s="100" t="n">
        <v>0.816944324225505</v>
      </c>
      <c r="G56" s="98" t="n">
        <v>0.793601391625139</v>
      </c>
    </row>
    <row r="57" ht="15.75" customHeight="1" s="65">
      <c r="A57" s="77" t="inlineStr">
        <is>
          <t>Pleural Thickening</t>
        </is>
      </c>
      <c r="B57" s="79" t="n">
        <v>1143</v>
      </c>
      <c r="C57" s="85" t="n">
        <v>0.0446554149085794</v>
      </c>
      <c r="D57" s="98" t="n">
        <v>0.793528045427479</v>
      </c>
      <c r="E57" s="98" t="n">
        <v>0.813807132428489</v>
      </c>
      <c r="F57" s="100" t="n">
        <v>0.816657208631238</v>
      </c>
      <c r="G57" s="98" t="n">
        <v>0.810640345313643</v>
      </c>
    </row>
    <row r="58" ht="15.75" customHeight="1" s="65">
      <c r="A58" s="77" t="inlineStr">
        <is>
          <t>Emphysema</t>
        </is>
      </c>
      <c r="B58" s="79" t="n">
        <v>1093</v>
      </c>
      <c r="C58" s="85" t="n">
        <v>0.042701984685107</v>
      </c>
      <c r="D58" s="98" t="n">
        <v>0.936363786737244</v>
      </c>
      <c r="E58" s="100" t="n">
        <v>0.949321626468503</v>
      </c>
      <c r="F58" s="98" t="n">
        <v>0.9483410530719411</v>
      </c>
      <c r="G58" s="98" t="n">
        <v>0.945438071907023</v>
      </c>
    </row>
    <row r="59" ht="15.75" customHeight="1" s="65">
      <c r="A59" s="77" t="inlineStr">
        <is>
          <t>Cardiomegaly</t>
        </is>
      </c>
      <c r="B59" s="79" t="n">
        <v>1069</v>
      </c>
      <c r="C59" s="85" t="n">
        <v>0.0417643381778402</v>
      </c>
      <c r="D59" s="98" t="n">
        <v>0.8878488199732389</v>
      </c>
      <c r="E59" s="98" t="n">
        <v>0.898279298394854</v>
      </c>
      <c r="F59" s="100" t="n">
        <v>0.903599107270455</v>
      </c>
      <c r="G59" s="98" t="n">
        <v>0.897661148365809</v>
      </c>
    </row>
    <row r="60" ht="15.75" customHeight="1" s="65">
      <c r="A60" s="77" t="inlineStr">
        <is>
          <t>Edema</t>
        </is>
      </c>
      <c r="B60" s="79" t="n">
        <v>925</v>
      </c>
      <c r="C60" s="85" t="n">
        <v>0.0361384591342397</v>
      </c>
      <c r="D60" s="98" t="n">
        <v>0.857902296930306</v>
      </c>
      <c r="E60" s="98" t="n">
        <v>0.8564471909792331</v>
      </c>
      <c r="F60" s="100" t="n">
        <v>0.86580421043637</v>
      </c>
      <c r="G60" s="98" t="n">
        <v>0.855920804270689</v>
      </c>
    </row>
    <row r="61" ht="15.75" customHeight="1" s="65">
      <c r="A61" s="77" t="inlineStr">
        <is>
          <t>Pneumonia</t>
        </is>
      </c>
      <c r="B61" s="79" t="n">
        <v>555</v>
      </c>
      <c r="C61" s="85" t="n">
        <v>0.0216830754805438</v>
      </c>
      <c r="D61" s="98" t="n">
        <v>0.727472170865007</v>
      </c>
      <c r="E61" s="98" t="n">
        <v>0.7294738610660499</v>
      </c>
      <c r="F61" s="100" t="n">
        <v>0.741508610563361</v>
      </c>
      <c r="G61" s="98" t="n">
        <v>0.730909992297317</v>
      </c>
    </row>
    <row r="62" ht="15.75" customHeight="1" s="65">
      <c r="A62" s="77" t="inlineStr">
        <is>
          <t>Fibrosis</t>
        </is>
      </c>
      <c r="B62" s="79" t="n">
        <v>435</v>
      </c>
      <c r="C62" s="85" t="n">
        <v>0.01699484294421</v>
      </c>
      <c r="D62" s="98" t="n">
        <v>0.829401778980149</v>
      </c>
      <c r="E62" s="98" t="n">
        <v>0.848826568393797</v>
      </c>
      <c r="F62" s="100" t="n">
        <v>0.850755022711211</v>
      </c>
      <c r="G62" s="98" t="n">
        <v>0.838695216598211</v>
      </c>
    </row>
    <row r="63" ht="15.75" customHeight="1" s="65">
      <c r="A63" s="77" t="inlineStr">
        <is>
          <t>Hernia *</t>
        </is>
      </c>
      <c r="B63" s="79" t="n">
        <v>86</v>
      </c>
      <c r="C63" s="85" t="n">
        <v>0.0033598999843725</v>
      </c>
      <c r="D63" s="98" t="n">
        <v>0.91016176966625</v>
      </c>
      <c r="E63" s="98" t="n">
        <v>0.94406320366842</v>
      </c>
      <c r="F63" s="100" t="n">
        <v>0.949200495929549</v>
      </c>
      <c r="G63" s="98" t="n">
        <v>0.928011358974593</v>
      </c>
    </row>
    <row r="64" ht="15.75" customHeight="1" s="65">
      <c r="A64" s="70" t="inlineStr">
        <is>
          <t>Macro average</t>
        </is>
      </c>
      <c r="B64" s="108" t="n">
        <v>27206</v>
      </c>
      <c r="C64" s="70" t="n"/>
      <c r="D64" s="109" t="n">
        <v>0.826303894194635</v>
      </c>
      <c r="E64" s="109" t="n">
        <v>0.836386109952279</v>
      </c>
      <c r="F64" s="109" t="n">
        <v>0.842777708802811</v>
      </c>
      <c r="G64" s="109" t="n">
        <v>0.832475142784691</v>
      </c>
    </row>
    <row r="65" ht="15" customHeight="1" s="65">
      <c r="A65" s="67" t="inlineStr">
        <is>
          <t>Green = best system for that disease. * = fewer than 100 test cases, so the value is uncertain.</t>
        </is>
      </c>
    </row>
    <row r="66" ht="15.75" customHeight="1" s="65"/>
    <row r="67" ht="15.75" customHeight="1" s="65">
      <c r="A67" s="75" t="inlineStr">
        <is>
          <t>E. Per-disease AUPRC (test)</t>
        </is>
      </c>
      <c r="B67" s="76" t="n"/>
      <c r="C67" s="76" t="n"/>
      <c r="D67" s="76" t="n"/>
      <c r="E67" s="76" t="n"/>
      <c r="F67" s="76" t="n"/>
      <c r="G67" s="76" t="n"/>
      <c r="H67" s="76" t="n"/>
      <c r="I67" s="76" t="n"/>
      <c r="J67" s="76" t="n"/>
      <c r="K67" s="76" t="n"/>
      <c r="L67" s="76" t="n"/>
      <c r="M67" s="76" t="n"/>
    </row>
    <row r="68" ht="30" customHeight="1" s="65">
      <c r="A68" s="69" t="inlineStr">
        <is>
          <t>Disease</t>
        </is>
      </c>
      <c r="B68" s="69" t="inlineStr">
        <is>
          <t>Test cases</t>
        </is>
      </c>
      <c r="C68" s="69" t="inlineStr">
        <is>
          <t>Prevalence</t>
        </is>
      </c>
      <c r="D68" s="69" t="inlineStr">
        <is>
          <t>CNN alone</t>
        </is>
      </c>
      <c r="E68" s="69" t="inlineStr">
        <is>
          <t>RAD-DINO alone</t>
        </is>
      </c>
      <c r="F68" s="69" t="inlineStr">
        <is>
          <t>Average of both</t>
        </is>
      </c>
      <c r="G68" s="69" t="inlineStr">
        <is>
          <t>Cascade</t>
        </is>
      </c>
    </row>
    <row r="69" ht="15.75" customHeight="1" s="65">
      <c r="A69" s="77" t="inlineStr">
        <is>
          <t>Infiltration</t>
        </is>
      </c>
      <c r="B69" s="79" t="n">
        <v>6112</v>
      </c>
      <c r="C69" s="85" t="n">
        <v>0.238787310517268</v>
      </c>
      <c r="D69" s="98" t="n">
        <v>0.406644319893695</v>
      </c>
      <c r="E69" s="98" t="n">
        <v>0.402341681309013</v>
      </c>
      <c r="F69" s="100" t="n">
        <v>0.410689505458328</v>
      </c>
      <c r="G69" s="98" t="n">
        <v>0.401898200245193</v>
      </c>
    </row>
    <row r="70" ht="15.75" customHeight="1" s="65">
      <c r="A70" s="77" t="inlineStr">
        <is>
          <t>Effusion</t>
        </is>
      </c>
      <c r="B70" s="79" t="n">
        <v>4658</v>
      </c>
      <c r="C70" s="85" t="n">
        <v>0.18198155961869</v>
      </c>
      <c r="D70" s="98" t="n">
        <v>0.537134317813134</v>
      </c>
      <c r="E70" s="98" t="n">
        <v>0.540709839863862</v>
      </c>
      <c r="F70" s="100" t="n">
        <v>0.550361347122478</v>
      </c>
      <c r="G70" s="98" t="n">
        <v>0.540552900310436</v>
      </c>
    </row>
    <row r="71" ht="15.75" customHeight="1" s="65">
      <c r="A71" s="77" t="inlineStr">
        <is>
          <t>Atelectasis</t>
        </is>
      </c>
      <c r="B71" s="79" t="n">
        <v>3279</v>
      </c>
      <c r="C71" s="85" t="n">
        <v>0.128105954055321</v>
      </c>
      <c r="D71" s="98" t="n">
        <v>0.363732204632596</v>
      </c>
      <c r="E71" s="98" t="n">
        <v>0.385297812432867</v>
      </c>
      <c r="F71" s="100" t="n">
        <v>0.389872290070103</v>
      </c>
      <c r="G71" s="98" t="n">
        <v>0.384871842491528</v>
      </c>
    </row>
    <row r="72" ht="15.75" customHeight="1" s="65">
      <c r="A72" s="77" t="inlineStr">
        <is>
          <t>Pneumothorax</t>
        </is>
      </c>
      <c r="B72" s="79" t="n">
        <v>2665</v>
      </c>
      <c r="C72" s="85" t="n">
        <v>0.10411783091108</v>
      </c>
      <c r="D72" s="98" t="n">
        <v>0.438452826736135</v>
      </c>
      <c r="E72" s="100" t="n">
        <v>0.494233212508336</v>
      </c>
      <c r="F72" s="98" t="n">
        <v>0.489135504735995</v>
      </c>
      <c r="G72" s="98" t="n">
        <v>0.489944949743609</v>
      </c>
    </row>
    <row r="73" ht="15.75" customHeight="1" s="65">
      <c r="A73" s="77" t="inlineStr">
        <is>
          <t>Consolidation</t>
        </is>
      </c>
      <c r="B73" s="79" t="n">
        <v>1815</v>
      </c>
      <c r="C73" s="85" t="n">
        <v>0.0709095171120487</v>
      </c>
      <c r="D73" s="98" t="n">
        <v>0.179154795397313</v>
      </c>
      <c r="E73" s="98" t="n">
        <v>0.184228271329106</v>
      </c>
      <c r="F73" s="100" t="n">
        <v>0.194610899914308</v>
      </c>
      <c r="G73" s="98" t="n">
        <v>0.184372696333572</v>
      </c>
    </row>
    <row r="74" ht="15.75" customHeight="1" s="65">
      <c r="A74" s="77" t="inlineStr">
        <is>
          <t>Mass</t>
        </is>
      </c>
      <c r="B74" s="79" t="n">
        <v>1748</v>
      </c>
      <c r="C74" s="85" t="n">
        <v>0.0682919206125957</v>
      </c>
      <c r="D74" s="98" t="n">
        <v>0.350878711730394</v>
      </c>
      <c r="E74" s="98" t="n">
        <v>0.381202383012353</v>
      </c>
      <c r="F74" s="100" t="n">
        <v>0.382917605492712</v>
      </c>
      <c r="G74" s="98" t="n">
        <v>0.373636308252511</v>
      </c>
    </row>
    <row r="75" ht="15.75" customHeight="1" s="65">
      <c r="A75" s="77" t="inlineStr">
        <is>
          <t>Nodule</t>
        </is>
      </c>
      <c r="B75" s="79" t="n">
        <v>1623</v>
      </c>
      <c r="C75" s="85" t="n">
        <v>0.0634083450539146</v>
      </c>
      <c r="D75" s="98" t="n">
        <v>0.257538272656806</v>
      </c>
      <c r="E75" s="98" t="n">
        <v>0.269250156594584</v>
      </c>
      <c r="F75" s="100" t="n">
        <v>0.280728442939097</v>
      </c>
      <c r="G75" s="98" t="n">
        <v>0.261670773837063</v>
      </c>
    </row>
    <row r="76" ht="15.75" customHeight="1" s="65">
      <c r="A76" s="77" t="inlineStr">
        <is>
          <t>Pleural Thickening</t>
        </is>
      </c>
      <c r="B76" s="79" t="n">
        <v>1143</v>
      </c>
      <c r="C76" s="85" t="n">
        <v>0.0446554149085794</v>
      </c>
      <c r="D76" s="98" t="n">
        <v>0.166791939800706</v>
      </c>
      <c r="E76" s="98" t="n">
        <v>0.176234586425761</v>
      </c>
      <c r="F76" s="100" t="n">
        <v>0.18327281062009</v>
      </c>
      <c r="G76" s="98" t="n">
        <v>0.173008766874618</v>
      </c>
    </row>
    <row r="77" ht="15.75" customHeight="1" s="65">
      <c r="A77" s="77" t="inlineStr">
        <is>
          <t>Emphysema</t>
        </is>
      </c>
      <c r="B77" s="79" t="n">
        <v>1093</v>
      </c>
      <c r="C77" s="85" t="n">
        <v>0.042701984685107</v>
      </c>
      <c r="D77" s="98" t="n">
        <v>0.47221203108115</v>
      </c>
      <c r="E77" s="98" t="n">
        <v>0.479368551534305</v>
      </c>
      <c r="F77" s="100" t="n">
        <v>0.495381436889067</v>
      </c>
      <c r="G77" s="98" t="n">
        <v>0.475617654564316</v>
      </c>
    </row>
    <row r="78" ht="15.75" customHeight="1" s="65">
      <c r="A78" s="77" t="inlineStr">
        <is>
          <t>Cardiomegaly</t>
        </is>
      </c>
      <c r="B78" s="79" t="n">
        <v>1069</v>
      </c>
      <c r="C78" s="85" t="n">
        <v>0.0417643381778402</v>
      </c>
      <c r="D78" s="98" t="n">
        <v>0.341089170823585</v>
      </c>
      <c r="E78" s="98" t="n">
        <v>0.362900494419984</v>
      </c>
      <c r="F78" s="100" t="n">
        <v>0.370685714973548</v>
      </c>
      <c r="G78" s="98" t="n">
        <v>0.359196358468529</v>
      </c>
    </row>
    <row r="79" ht="15.75" customHeight="1" s="65">
      <c r="A79" s="77" t="inlineStr">
        <is>
          <t>Edema</t>
        </is>
      </c>
      <c r="B79" s="79" t="n">
        <v>925</v>
      </c>
      <c r="C79" s="85" t="n">
        <v>0.0361384591342397</v>
      </c>
      <c r="D79" s="98" t="n">
        <v>0.192154556027747</v>
      </c>
      <c r="E79" s="98" t="n">
        <v>0.191607371989017</v>
      </c>
      <c r="F79" s="100" t="n">
        <v>0.203683181480349</v>
      </c>
      <c r="G79" s="98" t="n">
        <v>0.190913166873125</v>
      </c>
    </row>
    <row r="80" ht="15.75" customHeight="1" s="65">
      <c r="A80" s="77" t="inlineStr">
        <is>
          <t>Pneumonia</t>
        </is>
      </c>
      <c r="B80" s="79" t="n">
        <v>555</v>
      </c>
      <c r="C80" s="85" t="n">
        <v>0.0216830754805438</v>
      </c>
      <c r="D80" s="98" t="n">
        <v>0.0535117884099396</v>
      </c>
      <c r="E80" s="98" t="n">
        <v>0.0615470950940916</v>
      </c>
      <c r="F80" s="100" t="n">
        <v>0.0621769163210101</v>
      </c>
      <c r="G80" s="98" t="n">
        <v>0.0603293364787642</v>
      </c>
    </row>
    <row r="81" ht="15.75" customHeight="1" s="65">
      <c r="A81" s="77" t="inlineStr">
        <is>
          <t>Fibrosis</t>
        </is>
      </c>
      <c r="B81" s="79" t="n">
        <v>435</v>
      </c>
      <c r="C81" s="85" t="n">
        <v>0.01699484294421</v>
      </c>
      <c r="D81" s="98" t="n">
        <v>0.120473136089823</v>
      </c>
      <c r="E81" s="100" t="n">
        <v>0.150020744035174</v>
      </c>
      <c r="F81" s="98" t="n">
        <v>0.147621505985557</v>
      </c>
      <c r="G81" s="98" t="n">
        <v>0.140322511292666</v>
      </c>
    </row>
    <row r="82" ht="15.75" customHeight="1" s="65">
      <c r="A82" s="77" t="inlineStr">
        <is>
          <t>Hernia *</t>
        </is>
      </c>
      <c r="B82" s="79" t="n">
        <v>86</v>
      </c>
      <c r="C82" s="85" t="n">
        <v>0.0033598999843725</v>
      </c>
      <c r="D82" s="98" t="n">
        <v>0.30408647200754</v>
      </c>
      <c r="E82" s="98" t="n">
        <v>0.433569637457922</v>
      </c>
      <c r="F82" s="100" t="n">
        <v>0.44744894881834</v>
      </c>
      <c r="G82" s="98" t="n">
        <v>0.41026394218379</v>
      </c>
    </row>
    <row r="83" ht="15.75" customHeight="1" s="65">
      <c r="A83" s="70" t="inlineStr">
        <is>
          <t>Macro average</t>
        </is>
      </c>
      <c r="B83" s="108" t="n">
        <v>27206</v>
      </c>
      <c r="C83" s="70" t="n"/>
      <c r="D83" s="109" t="n">
        <v>0.298846753078612</v>
      </c>
      <c r="E83" s="109" t="n">
        <v>0.322322274143313</v>
      </c>
      <c r="F83" s="109" t="n">
        <v>0.329184722201499</v>
      </c>
      <c r="G83" s="109" t="n">
        <v>0.31761424342498</v>
      </c>
    </row>
    <row r="84" ht="15" customHeight="1" s="65">
      <c r="A84" s="67" t="inlineStr">
        <is>
          <t>AUPRC is much lower than AUROC because most diseases are rare; compare it with the prevalence column (random guessing scores the prevalence).</t>
        </is>
      </c>
    </row>
    <row r="85" ht="15.75" customHeight="1" s="65"/>
    <row r="86" ht="15.75" customHeight="1" s="65">
      <c r="A86" s="75" t="inlineStr">
        <is>
          <t>F. Per-disease F1 (test; thresholds tuned on validation)</t>
        </is>
      </c>
      <c r="B86" s="76" t="n"/>
      <c r="C86" s="76" t="n"/>
      <c r="D86" s="76" t="n"/>
      <c r="E86" s="76" t="n"/>
      <c r="F86" s="76" t="n"/>
      <c r="G86" s="76" t="n"/>
      <c r="H86" s="76" t="n"/>
      <c r="I86" s="76" t="n"/>
      <c r="J86" s="76" t="n"/>
      <c r="K86" s="76" t="n"/>
      <c r="L86" s="76" t="n"/>
      <c r="M86" s="76" t="n"/>
    </row>
    <row r="87" ht="30" customHeight="1" s="65">
      <c r="A87" s="69" t="inlineStr">
        <is>
          <t>Disease</t>
        </is>
      </c>
      <c r="B87" s="69" t="inlineStr">
        <is>
          <t>Test cases</t>
        </is>
      </c>
      <c r="C87" s="69" t="inlineStr">
        <is>
          <t>Prevalence</t>
        </is>
      </c>
      <c r="D87" s="69" t="inlineStr">
        <is>
          <t>CNN alone</t>
        </is>
      </c>
      <c r="E87" s="69" t="inlineStr">
        <is>
          <t>RAD-DINO alone</t>
        </is>
      </c>
      <c r="F87" s="69" t="inlineStr">
        <is>
          <t>Average of both</t>
        </is>
      </c>
      <c r="G87" s="69" t="inlineStr">
        <is>
          <t>Cascade</t>
        </is>
      </c>
    </row>
    <row r="88" ht="15.75" customHeight="1" s="65">
      <c r="A88" s="77" t="inlineStr">
        <is>
          <t>Infiltration</t>
        </is>
      </c>
      <c r="B88" s="79" t="n">
        <v>6112</v>
      </c>
      <c r="C88" s="85" t="n">
        <v>0.238787310517268</v>
      </c>
      <c r="D88" s="98" t="n">
        <v>0.460043496367591</v>
      </c>
      <c r="E88" s="98" t="n">
        <v>0.46850624024961</v>
      </c>
      <c r="F88" s="98" t="n">
        <v>0.467869760336102</v>
      </c>
      <c r="G88" s="100" t="n">
        <v>0.471694318753142</v>
      </c>
    </row>
    <row r="89" ht="15.75" customHeight="1" s="65">
      <c r="A89" s="77" t="inlineStr">
        <is>
          <t>Effusion</t>
        </is>
      </c>
      <c r="B89" s="79" t="n">
        <v>4658</v>
      </c>
      <c r="C89" s="85" t="n">
        <v>0.18198155961869</v>
      </c>
      <c r="D89" s="98" t="n">
        <v>0.54063868418242</v>
      </c>
      <c r="E89" s="98" t="n">
        <v>0.554852701969998</v>
      </c>
      <c r="F89" s="100" t="n">
        <v>0.558089229382605</v>
      </c>
      <c r="G89" s="98" t="n">
        <v>0.553986332574032</v>
      </c>
    </row>
    <row r="90" ht="15.75" customHeight="1" s="65">
      <c r="A90" s="77" t="inlineStr">
        <is>
          <t>Atelectasis</t>
        </is>
      </c>
      <c r="B90" s="79" t="n">
        <v>3279</v>
      </c>
      <c r="C90" s="85" t="n">
        <v>0.128105954055321</v>
      </c>
      <c r="D90" s="98" t="n">
        <v>0.413610759857455</v>
      </c>
      <c r="E90" s="98" t="n">
        <v>0.422806036892118</v>
      </c>
      <c r="F90" s="100" t="n">
        <v>0.432340009770396</v>
      </c>
      <c r="G90" s="98" t="n">
        <v>0.417177914110429</v>
      </c>
    </row>
    <row r="91" ht="15.75" customHeight="1" s="65">
      <c r="A91" s="77" t="inlineStr">
        <is>
          <t>Pneumothorax</t>
        </is>
      </c>
      <c r="B91" s="79" t="n">
        <v>2665</v>
      </c>
      <c r="C91" s="85" t="n">
        <v>0.10411783091108</v>
      </c>
      <c r="D91" s="98" t="n">
        <v>0.496424210709925</v>
      </c>
      <c r="E91" s="100" t="n">
        <v>0.540460526315789</v>
      </c>
      <c r="F91" s="98" t="n">
        <v>0.537846572546351</v>
      </c>
      <c r="G91" s="98" t="n">
        <v>0.5293619901844639</v>
      </c>
    </row>
    <row r="92" ht="15.75" customHeight="1" s="65">
      <c r="A92" s="77" t="inlineStr">
        <is>
          <t>Consolidation</t>
        </is>
      </c>
      <c r="B92" s="79" t="n">
        <v>1815</v>
      </c>
      <c r="C92" s="85" t="n">
        <v>0.0709095171120487</v>
      </c>
      <c r="D92" s="98" t="n">
        <v>0.253259581193204</v>
      </c>
      <c r="E92" s="98" t="n">
        <v>0.26197272438947</v>
      </c>
      <c r="F92" s="98" t="n">
        <v>0.261388766032729</v>
      </c>
      <c r="G92" s="100" t="n">
        <v>0.262200032211306</v>
      </c>
    </row>
    <row r="93" ht="15.75" customHeight="1" s="65">
      <c r="A93" s="77" t="inlineStr">
        <is>
          <t>Mass</t>
        </is>
      </c>
      <c r="B93" s="79" t="n">
        <v>1748</v>
      </c>
      <c r="C93" s="85" t="n">
        <v>0.0682919206125957</v>
      </c>
      <c r="D93" s="98" t="n">
        <v>0.413514662133447</v>
      </c>
      <c r="E93" s="98" t="n">
        <v>0.440041710114703</v>
      </c>
      <c r="F93" s="100" t="n">
        <v>0.451533742331288</v>
      </c>
      <c r="G93" s="98" t="n">
        <v>0.438184663536776</v>
      </c>
    </row>
    <row r="94" ht="15.75" customHeight="1" s="65">
      <c r="A94" s="77" t="inlineStr">
        <is>
          <t>Nodule</t>
        </is>
      </c>
      <c r="B94" s="79" t="n">
        <v>1623</v>
      </c>
      <c r="C94" s="85" t="n">
        <v>0.0634083450539146</v>
      </c>
      <c r="D94" s="98" t="n">
        <v>0.307409675443968</v>
      </c>
      <c r="E94" s="98" t="n">
        <v>0.317665130568356</v>
      </c>
      <c r="F94" s="100" t="n">
        <v>0.339865771812081</v>
      </c>
      <c r="G94" s="98" t="n">
        <v>0.30355363666556</v>
      </c>
    </row>
    <row r="95" ht="15.75" customHeight="1" s="65">
      <c r="A95" s="77" t="inlineStr">
        <is>
          <t>Pleural Thickening</t>
        </is>
      </c>
      <c r="B95" s="79" t="n">
        <v>1143</v>
      </c>
      <c r="C95" s="85" t="n">
        <v>0.0446554149085794</v>
      </c>
      <c r="D95" s="98" t="n">
        <v>0.233910891089109</v>
      </c>
      <c r="E95" s="100" t="n">
        <v>0.264293419633225</v>
      </c>
      <c r="F95" s="98" t="n">
        <v>0.234132581100141</v>
      </c>
      <c r="G95" s="98" t="n">
        <v>0.25118839129347</v>
      </c>
    </row>
    <row r="96" ht="15.75" customHeight="1" s="65">
      <c r="A96" s="77" t="inlineStr">
        <is>
          <t>Emphysema</t>
        </is>
      </c>
      <c r="B96" s="79" t="n">
        <v>1093</v>
      </c>
      <c r="C96" s="85" t="n">
        <v>0.042701984685107</v>
      </c>
      <c r="D96" s="98" t="n">
        <v>0.510331256149557</v>
      </c>
      <c r="E96" s="98" t="n">
        <v>0.541139240506329</v>
      </c>
      <c r="F96" s="100" t="n">
        <v>0.549981691688026</v>
      </c>
      <c r="G96" s="98" t="n">
        <v>0.534604227103191</v>
      </c>
    </row>
    <row r="97" ht="15.75" customHeight="1" s="65">
      <c r="A97" s="77" t="inlineStr">
        <is>
          <t>Cardiomegaly</t>
        </is>
      </c>
      <c r="B97" s="79" t="n">
        <v>1069</v>
      </c>
      <c r="C97" s="85" t="n">
        <v>0.0417643381778402</v>
      </c>
      <c r="D97" s="98" t="n">
        <v>0.397987191216834</v>
      </c>
      <c r="E97" s="98" t="n">
        <v>0.425042589437819</v>
      </c>
      <c r="F97" s="100" t="n">
        <v>0.43207981580967</v>
      </c>
      <c r="G97" s="98" t="n">
        <v>0.415643474306503</v>
      </c>
    </row>
    <row r="98" ht="15.75" customHeight="1" s="65">
      <c r="A98" s="77" t="inlineStr">
        <is>
          <t>Edema</t>
        </is>
      </c>
      <c r="B98" s="79" t="n">
        <v>925</v>
      </c>
      <c r="C98" s="85" t="n">
        <v>0.0361384591342397</v>
      </c>
      <c r="D98" s="98" t="n">
        <v>0.268339768339768</v>
      </c>
      <c r="E98" s="98" t="n">
        <v>0.257345491388045</v>
      </c>
      <c r="F98" s="100" t="n">
        <v>0.26875</v>
      </c>
      <c r="G98" s="98" t="n">
        <v>0.255600814663951</v>
      </c>
    </row>
    <row r="99" ht="15.75" customHeight="1" s="65">
      <c r="A99" s="77" t="inlineStr">
        <is>
          <t>Pneumonia</t>
        </is>
      </c>
      <c r="B99" s="79" t="n">
        <v>555</v>
      </c>
      <c r="C99" s="85" t="n">
        <v>0.0216830754805438</v>
      </c>
      <c r="D99" s="98" t="n">
        <v>0.08835341365461841</v>
      </c>
      <c r="E99" s="100" t="n">
        <v>0.0894454382826475</v>
      </c>
      <c r="F99" s="98" t="n">
        <v>0.08032128514056221</v>
      </c>
      <c r="G99" s="98" t="n">
        <v>0.08648648648648639</v>
      </c>
    </row>
    <row r="100" ht="15.75" customHeight="1" s="65">
      <c r="A100" s="77" t="inlineStr">
        <is>
          <t>Fibrosis</t>
        </is>
      </c>
      <c r="B100" s="79" t="n">
        <v>435</v>
      </c>
      <c r="C100" s="85" t="n">
        <v>0.01699484294421</v>
      </c>
      <c r="D100" s="98" t="n">
        <v>0.188565697091274</v>
      </c>
      <c r="E100" s="100" t="n">
        <v>0.212678936605317</v>
      </c>
      <c r="F100" s="98" t="n">
        <v>0.210857592446892</v>
      </c>
      <c r="G100" s="98" t="n">
        <v>0.187376725838264</v>
      </c>
    </row>
    <row r="101" ht="15.75" customHeight="1" s="65">
      <c r="A101" s="77" t="inlineStr">
        <is>
          <t>Hernia *</t>
        </is>
      </c>
      <c r="B101" s="79" t="n">
        <v>86</v>
      </c>
      <c r="C101" s="85" t="n">
        <v>0.0033598999843725</v>
      </c>
      <c r="D101" s="98" t="n">
        <v>0.382352941176471</v>
      </c>
      <c r="E101" s="98" t="n">
        <v>0.506666666666667</v>
      </c>
      <c r="F101" s="100" t="n">
        <v>0.52</v>
      </c>
      <c r="G101" s="98" t="n">
        <v>0.485294117647059</v>
      </c>
    </row>
    <row r="102" ht="15.75" customHeight="1" s="65">
      <c r="A102" s="70" t="inlineStr">
        <is>
          <t>Macro average</t>
        </is>
      </c>
      <c r="B102" s="108" t="n">
        <v>27206</v>
      </c>
      <c r="C102" s="70" t="n"/>
      <c r="D102" s="109" t="n">
        <v>0.353910159186117</v>
      </c>
      <c r="E102" s="109" t="n">
        <v>0.378779775215721</v>
      </c>
      <c r="F102" s="109" t="n">
        <v>0.381789772742632</v>
      </c>
      <c r="G102" s="109" t="n">
        <v>0.370882366098188</v>
      </c>
    </row>
    <row r="103" ht="15" customHeight="1" s="65">
      <c r="A103" s="67" t="inlineStr">
        <is>
          <t>Infiltration, Effusion and Pneumothorax are the most common findings; Pneumonia stays the hardest (F1 &lt; 0.10 for every system).</t>
        </is>
      </c>
    </row>
    <row r="104" ht="15.75" customHeight="1" s="65"/>
    <row r="105" ht="15.75" customHeight="1" s="65">
      <c r="A105" s="75" t="inlineStr">
        <is>
          <t>G. Training logs (seed 42)</t>
        </is>
      </c>
      <c r="B105" s="76" t="n"/>
      <c r="C105" s="76" t="n"/>
      <c r="D105" s="76" t="n"/>
      <c r="E105" s="76" t="n"/>
      <c r="F105" s="76" t="n"/>
      <c r="G105" s="76" t="n"/>
      <c r="H105" s="76" t="n"/>
      <c r="I105" s="76" t="n"/>
      <c r="J105" s="76" t="n"/>
      <c r="K105" s="76" t="n"/>
      <c r="L105" s="76" t="n"/>
      <c r="M105" s="76" t="n"/>
    </row>
    <row r="106" ht="30" customHeight="1" s="65">
      <c r="A106" s="69" t="inlineStr">
        <is>
          <t>Epoch</t>
        </is>
      </c>
      <c r="B106" s="69" t="inlineStr">
        <is>
          <t>ConvNeXt-Tiny phase</t>
        </is>
      </c>
      <c r="C106" s="69" t="inlineStr">
        <is>
          <t>Train loss</t>
        </is>
      </c>
      <c r="D106" s="69" t="inlineStr">
        <is>
          <t>Val loss</t>
        </is>
      </c>
      <c r="E106" s="69" t="inlineStr">
        <is>
          <t>Val macro AUROC</t>
        </is>
      </c>
      <c r="F106" s="69" t="inlineStr">
        <is>
          <t>Epoch time (min)</t>
        </is>
      </c>
      <c r="G106" s="69" t="n"/>
      <c r="H106" s="69" t="inlineStr">
        <is>
          <t>RAD-DINO phase</t>
        </is>
      </c>
      <c r="I106" s="69" t="inlineStr">
        <is>
          <t>Train loss</t>
        </is>
      </c>
      <c r="J106" s="69" t="inlineStr">
        <is>
          <t>Val loss</t>
        </is>
      </c>
      <c r="K106" s="69" t="inlineStr">
        <is>
          <t>Val macro AUROC</t>
        </is>
      </c>
      <c r="L106" s="69" t="inlineStr">
        <is>
          <t>Epoch time (min)</t>
        </is>
      </c>
    </row>
    <row r="107" ht="15.75" customHeight="1" s="65">
      <c r="A107" s="78" t="n">
        <v>1</v>
      </c>
      <c r="B107" s="77" t="inlineStr">
        <is>
          <t>warmup</t>
        </is>
      </c>
      <c r="C107" s="101" t="n">
        <v>0.402084870617111</v>
      </c>
      <c r="D107" s="101" t="n">
        <v>0.354785293340683</v>
      </c>
      <c r="E107" s="101" t="n">
        <v>0.739301477024871</v>
      </c>
      <c r="F107" s="110" t="n">
        <v>14.9945474465688</v>
      </c>
      <c r="G107" s="77" t="n"/>
      <c r="H107" s="77" t="inlineStr">
        <is>
          <t>warmup</t>
        </is>
      </c>
      <c r="I107" s="101" t="n">
        <v>0.361431702518497</v>
      </c>
      <c r="J107" s="101" t="n">
        <v>0.331125140190125</v>
      </c>
      <c r="K107" s="101" t="n">
        <v>0.818375088056431</v>
      </c>
      <c r="L107" s="110" t="n">
        <v>33.7904051065445</v>
      </c>
    </row>
    <row r="108" ht="15.75" customHeight="1" s="65">
      <c r="A108" s="78" t="n">
        <v>2</v>
      </c>
      <c r="B108" s="77" t="inlineStr">
        <is>
          <t>finetune</t>
        </is>
      </c>
      <c r="C108" s="101" t="n">
        <v>0.353296976243005</v>
      </c>
      <c r="D108" s="101" t="n">
        <v>0.32734227180481</v>
      </c>
      <c r="E108" s="101" t="n">
        <v>0.818660474160525</v>
      </c>
      <c r="F108" s="110" t="n">
        <v>21.7299809972445</v>
      </c>
      <c r="G108" s="77" t="n"/>
      <c r="H108" s="77" t="inlineStr">
        <is>
          <t>warmup</t>
        </is>
      </c>
      <c r="I108" s="101" t="n">
        <v>0.324871465847404</v>
      </c>
      <c r="J108" s="101" t="n">
        <v>0.314336955547333</v>
      </c>
      <c r="K108" s="101" t="n">
        <v>0.837517892367029</v>
      </c>
      <c r="L108" s="110" t="n">
        <v>33.7828651825587</v>
      </c>
    </row>
    <row r="109" ht="15.75" customHeight="1" s="65">
      <c r="A109" s="78" t="n">
        <v>3</v>
      </c>
      <c r="B109" s="77" t="inlineStr">
        <is>
          <t>finetune</t>
        </is>
      </c>
      <c r="C109" s="101" t="n">
        <v>0.324825545132676</v>
      </c>
      <c r="D109" s="101" t="n">
        <v>0.31303209066391</v>
      </c>
      <c r="E109" s="101" t="n">
        <v>0.840533124553509</v>
      </c>
      <c r="F109" s="110" t="n">
        <v>21.5941948374113</v>
      </c>
      <c r="G109" s="77" t="n"/>
      <c r="H109" s="77" t="inlineStr">
        <is>
          <t>finetune</t>
        </is>
      </c>
      <c r="I109" s="101" t="n">
        <v>0.309179597882578</v>
      </c>
      <c r="J109" s="101" t="n">
        <v>0.299142062664032</v>
      </c>
      <c r="K109" s="101" t="n">
        <v>0.863049020699537</v>
      </c>
      <c r="L109" s="110" t="n">
        <v>81.53432611227041</v>
      </c>
    </row>
    <row r="110" ht="15.75" customHeight="1" s="65">
      <c r="A110" s="78" t="n">
        <v>4</v>
      </c>
      <c r="B110" s="77" t="inlineStr">
        <is>
          <t>finetune</t>
        </is>
      </c>
      <c r="C110" s="101" t="n">
        <v>0.313499989795994</v>
      </c>
      <c r="D110" s="101" t="n">
        <v>0.308487564325333</v>
      </c>
      <c r="E110" s="101" t="n">
        <v>0.8520438187977</v>
      </c>
      <c r="F110" s="110" t="n">
        <v>21.6239701310794</v>
      </c>
      <c r="G110" s="77" t="n"/>
      <c r="H110" s="77" t="inlineStr">
        <is>
          <t>finetune</t>
        </is>
      </c>
      <c r="I110" s="101" t="n">
        <v>0.294332143091052</v>
      </c>
      <c r="J110" s="101" t="n">
        <v>0.298396527767181</v>
      </c>
      <c r="K110" s="102" t="n">
        <v>0.865113145281588</v>
      </c>
      <c r="L110" s="110" t="n">
        <v>81.5564101497332</v>
      </c>
    </row>
    <row r="111" ht="15.75" customHeight="1" s="65">
      <c r="A111" s="78" t="n">
        <v>5</v>
      </c>
      <c r="B111" s="77" t="inlineStr">
        <is>
          <t>finetune</t>
        </is>
      </c>
      <c r="C111" s="101" t="n">
        <v>0.303906250225775</v>
      </c>
      <c r="D111" s="101" t="n">
        <v>0.30852809548378</v>
      </c>
      <c r="E111" s="101" t="n">
        <v>0.856023716119222</v>
      </c>
      <c r="F111" s="110" t="n">
        <v>21.5220726370811</v>
      </c>
      <c r="G111" s="77" t="n"/>
      <c r="H111" s="77" t="inlineStr">
        <is>
          <t>finetune</t>
        </is>
      </c>
      <c r="I111" s="101" t="n">
        <v>0.281329514429143</v>
      </c>
      <c r="J111" s="101" t="n">
        <v>0.30098769068718</v>
      </c>
      <c r="K111" s="101" t="n">
        <v>0.861813305795054</v>
      </c>
      <c r="L111" s="110" t="n">
        <v>81.54703064362209</v>
      </c>
    </row>
    <row r="112" ht="15.75" customHeight="1" s="65">
      <c r="A112" s="78" t="n">
        <v>6</v>
      </c>
      <c r="B112" s="77" t="inlineStr">
        <is>
          <t>finetune</t>
        </is>
      </c>
      <c r="C112" s="101" t="n">
        <v>0.293925441578998</v>
      </c>
      <c r="D112" s="101" t="n">
        <v>0.305407077074051</v>
      </c>
      <c r="E112" s="102" t="n">
        <v>0.859775255039285</v>
      </c>
      <c r="F112" s="110" t="n">
        <v>21.6630399386088</v>
      </c>
      <c r="G112" s="77" t="n"/>
      <c r="H112" s="77" t="inlineStr">
        <is>
          <t>finetune</t>
        </is>
      </c>
      <c r="I112" s="101" t="n">
        <v>0.273222100770996</v>
      </c>
      <c r="J112" s="101" t="n">
        <v>0.302311688661575</v>
      </c>
      <c r="K112" s="101" t="n">
        <v>0.861026070384185</v>
      </c>
      <c r="L112" s="110" t="n">
        <v>81.5741453369459</v>
      </c>
    </row>
    <row r="113" ht="15.75" customHeight="1" s="65">
      <c r="A113" s="78" t="n">
        <v>7</v>
      </c>
      <c r="B113" s="77" t="inlineStr">
        <is>
          <t>finetune</t>
        </is>
      </c>
      <c r="C113" s="101" t="n">
        <v>0.284109421506589</v>
      </c>
      <c r="D113" s="101" t="n">
        <v>0.312624722719193</v>
      </c>
      <c r="E113" s="101" t="n">
        <v>0.8582248182833589</v>
      </c>
      <c r="F113" s="110" t="n">
        <v>21.6231800158819</v>
      </c>
      <c r="G113" s="77" t="n"/>
      <c r="H113" s="77" t="n"/>
      <c r="I113" s="111" t="n"/>
      <c r="J113" s="111" t="n"/>
      <c r="K113" s="111" t="n"/>
      <c r="L113" s="112" t="n"/>
    </row>
    <row r="114" ht="15.75" customHeight="1" s="65">
      <c r="A114" s="78" t="n">
        <v>8</v>
      </c>
      <c r="B114" s="77" t="inlineStr">
        <is>
          <t>finetune</t>
        </is>
      </c>
      <c r="C114" s="101" t="n">
        <v>0.275669043975604</v>
      </c>
      <c r="D114" s="101" t="n">
        <v>0.316039025783539</v>
      </c>
      <c r="E114" s="101" t="n">
        <v>0.857502929861895</v>
      </c>
      <c r="F114" s="110" t="n">
        <v>21.7129862268766</v>
      </c>
      <c r="G114" s="77" t="n"/>
      <c r="H114" s="77" t="n"/>
      <c r="I114" s="111" t="n"/>
      <c r="J114" s="111" t="n"/>
      <c r="K114" s="111" t="n"/>
      <c r="L114" s="112" t="n"/>
    </row>
    <row r="115" ht="25.5" customHeight="1" s="65">
      <c r="A115" s="67" t="inlineStr">
        <is>
          <t>Green = best validation AUROC (the checkpoint kept). Total training: ConvNeXt-Tiny 2.77 h, RAD-DINO 6.56 h on one Tesla T4. RAD-DINO results use EMA weights.</t>
        </is>
      </c>
    </row>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9">
    <mergeCell ref="A46:M46"/>
    <mergeCell ref="A84:M84"/>
    <mergeCell ref="A103:M103"/>
    <mergeCell ref="A1:M1"/>
    <mergeCell ref="A65:M65"/>
    <mergeCell ref="A38:M38"/>
    <mergeCell ref="A2:M2"/>
    <mergeCell ref="A10:M10"/>
    <mergeCell ref="A115:M115"/>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Z9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baseColWidth="8" defaultColWidth="14.43359375" defaultRowHeight="15" zeroHeight="0" outlineLevelRow="0"/>
  <cols>
    <col width="30" customWidth="1" style="64" min="1" max="1"/>
    <col width="14" customWidth="1" style="64" min="2" max="10"/>
    <col width="16" customWidth="1" style="64" min="11" max="11"/>
    <col width="12" customWidth="1" style="64" min="12" max="12"/>
    <col width="8.710000000000001" customWidth="1" style="64" min="13" max="26"/>
  </cols>
  <sheetData>
    <row r="1" ht="24" customHeight="1" s="65">
      <c r="A1" s="66" t="inlineStr">
        <is>
          <t>5. Two-Stage Cascade: CNN (ConvNeXt-Tiny) → Transformer (RAD-DINO) — official split, seed 42</t>
        </is>
      </c>
    </row>
    <row r="2" ht="30" customHeight="1" s="65">
      <c r="A2" s="67" t="inlineStr">
        <is>
          <t>A fast CNN decides the images it is confident about; RAD-DINO is called only for the rest. Everything is chosen on validation and then applied unchanged to the official test set. Source: results_s42 (T4, T5, T6, timing_*.json).</t>
        </is>
      </c>
    </row>
    <row r="4" ht="15" customHeight="1" s="65">
      <c r="A4" s="75" t="inlineStr">
        <is>
          <t>A. How it works</t>
        </is>
      </c>
      <c r="B4" s="76" t="n"/>
      <c r="C4" s="76" t="n"/>
      <c r="D4" s="76" t="n"/>
      <c r="E4" s="76" t="n"/>
      <c r="F4" s="76" t="n"/>
      <c r="G4" s="76" t="n"/>
      <c r="H4" s="76" t="n"/>
      <c r="I4" s="76" t="n"/>
      <c r="J4" s="76" t="n"/>
      <c r="K4" s="76" t="n"/>
      <c r="L4" s="76" t="n"/>
    </row>
    <row r="5" ht="30" customHeight="1" s="65">
      <c r="A5" s="69" t="inlineStr">
        <is>
          <t>Component</t>
        </is>
      </c>
      <c r="B5" s="69" t="inlineStr">
        <is>
          <t>Details</t>
        </is>
      </c>
      <c r="C5" s="82" t="n"/>
      <c r="D5" s="82" t="n"/>
      <c r="E5" s="82" t="n"/>
      <c r="F5" s="82" t="n"/>
      <c r="G5" s="82" t="n"/>
      <c r="H5" s="82" t="n"/>
      <c r="I5" s="82" t="n"/>
      <c r="J5" s="82" t="n"/>
      <c r="K5" s="82" t="n"/>
      <c r="L5" s="80" t="n"/>
    </row>
    <row r="6" ht="15" customHeight="1" s="65">
      <c r="A6" s="70" t="inlineStr">
        <is>
          <t>Stage 1 (CNN)</t>
        </is>
      </c>
      <c r="B6" s="71" t="inlineStr">
        <is>
          <t>ConvNeXt-Tiny, 384 px, scores all 14 findings.</t>
        </is>
      </c>
      <c r="C6" s="82" t="n"/>
      <c r="D6" s="82" t="n"/>
      <c r="E6" s="82" t="n"/>
      <c r="F6" s="82" t="n"/>
      <c r="G6" s="82" t="n"/>
      <c r="H6" s="82" t="n"/>
      <c r="I6" s="82" t="n"/>
      <c r="J6" s="82" t="n"/>
      <c r="K6" s="82" t="n"/>
      <c r="L6" s="80" t="n"/>
    </row>
    <row r="7" ht="15" customHeight="1" s="65">
      <c r="A7" s="70" t="inlineStr">
        <is>
          <t>Calibration</t>
        </is>
      </c>
      <c r="B7" s="71" t="inlineStr">
        <is>
          <t>Per-class Platt scaling, fitted on validation, so scores behave like probabilities.</t>
        </is>
      </c>
      <c r="C7" s="82" t="n"/>
      <c r="D7" s="82" t="n"/>
      <c r="E7" s="82" t="n"/>
      <c r="F7" s="82" t="n"/>
      <c r="G7" s="82" t="n"/>
      <c r="H7" s="82" t="n"/>
      <c r="I7" s="82" t="n"/>
      <c r="J7" s="82" t="n"/>
      <c r="K7" s="82" t="n"/>
      <c r="L7" s="80" t="n"/>
    </row>
    <row r="8" ht="15" customHeight="1" s="65">
      <c r="A8" s="70" t="inlineStr">
        <is>
          <t>Gate</t>
        </is>
      </c>
      <c r="B8" s="71" t="inlineStr">
        <is>
          <t>A finding is 'confident' if p ≤ 1 − t (No) or p ≥ t (Yes). An image stays with the CNN only if ALL 14 findings are confident.</t>
        </is>
      </c>
      <c r="C8" s="82" t="n"/>
      <c r="D8" s="82" t="n"/>
      <c r="E8" s="82" t="n"/>
      <c r="F8" s="82" t="n"/>
      <c r="G8" s="82" t="n"/>
      <c r="H8" s="82" t="n"/>
      <c r="I8" s="82" t="n"/>
      <c r="J8" s="82" t="n"/>
      <c r="K8" s="82" t="n"/>
      <c r="L8" s="80" t="n"/>
    </row>
    <row r="9" ht="15" customHeight="1" s="65">
      <c r="A9" s="70" t="inlineStr">
        <is>
          <t>Stage 2 (Transformer)</t>
        </is>
      </c>
      <c r="B9" s="71" t="inlineStr">
        <is>
          <t>RAD-DINO, 518 px, decides all 14 findings of every routed image (per-image routing).</t>
        </is>
      </c>
      <c r="C9" s="82" t="n"/>
      <c r="D9" s="82" t="n"/>
      <c r="E9" s="82" t="n"/>
      <c r="F9" s="82" t="n"/>
      <c r="G9" s="82" t="n"/>
      <c r="H9" s="82" t="n"/>
      <c r="I9" s="82" t="n"/>
      <c r="J9" s="82" t="n"/>
      <c r="K9" s="82" t="n"/>
      <c r="L9" s="80" t="n"/>
    </row>
    <row r="10" ht="15" customHeight="1" s="65">
      <c r="A10" s="70" t="inlineStr">
        <is>
          <t>Decision thresholds</t>
        </is>
      </c>
      <c r="B10" s="71" t="inlineStr">
        <is>
          <t>Per class, re-tuned on validation to maximise F1 given the CNN's fixed decisions.</t>
        </is>
      </c>
      <c r="C10" s="82" t="n"/>
      <c r="D10" s="82" t="n"/>
      <c r="E10" s="82" t="n"/>
      <c r="F10" s="82" t="n"/>
      <c r="G10" s="82" t="n"/>
      <c r="H10" s="82" t="n"/>
      <c r="I10" s="82" t="n"/>
      <c r="J10" s="82" t="n"/>
      <c r="K10" s="82" t="n"/>
      <c r="L10" s="80" t="n"/>
    </row>
    <row r="11" ht="15" customHeight="1" s="65">
      <c r="A11" s="70" t="inlineStr">
        <is>
          <t>Selection rule</t>
        </is>
      </c>
      <c r="B11" s="71" t="inlineStr">
        <is>
          <t>Cheapest gate (fewest validation images sent to RAD-DINO) whose validation macro F1 is within 0.01 of RAD-DINO alone.</t>
        </is>
      </c>
      <c r="C11" s="82" t="n"/>
      <c r="D11" s="82" t="n"/>
      <c r="E11" s="82" t="n"/>
      <c r="F11" s="82" t="n"/>
      <c r="G11" s="82" t="n"/>
      <c r="H11" s="82" t="n"/>
      <c r="I11" s="82" t="n"/>
      <c r="J11" s="82" t="n"/>
      <c r="K11" s="82" t="n"/>
      <c r="L11" s="80" t="n"/>
    </row>
    <row r="12" ht="15" customHeight="1" s="65">
      <c r="A12" s="70" t="inlineStr">
        <is>
          <t>Selected</t>
        </is>
      </c>
      <c r="B12" s="71" t="inlineStr">
        <is>
          <t>Stage 2 = RAD-DINO, per-image routing, gate t=0.80 (flat).</t>
        </is>
      </c>
      <c r="C12" s="82" t="n"/>
      <c r="D12" s="82" t="n"/>
      <c r="E12" s="82" t="n"/>
      <c r="F12" s="82" t="n"/>
      <c r="G12" s="82" t="n"/>
      <c r="H12" s="82" t="n"/>
      <c r="I12" s="82" t="n"/>
      <c r="J12" s="82" t="n"/>
      <c r="K12" s="82" t="n"/>
      <c r="L12" s="80" t="n"/>
    </row>
    <row r="13" ht="15" customHeight="1" s="65">
      <c r="A13" s="70" t="inlineStr">
        <is>
          <t>Seed / TTA</t>
        </is>
      </c>
      <c r="B13" s="71" t="inlineStr">
        <is>
          <t>One training seed (42); no test-time augmentation.</t>
        </is>
      </c>
      <c r="C13" s="82" t="n"/>
      <c r="D13" s="82" t="n"/>
      <c r="E13" s="82" t="n"/>
      <c r="F13" s="82" t="n"/>
      <c r="G13" s="82" t="n"/>
      <c r="H13" s="82" t="n"/>
      <c r="I13" s="82" t="n"/>
      <c r="J13" s="82" t="n"/>
      <c r="K13" s="82" t="n"/>
      <c r="L13" s="80" t="n"/>
    </row>
    <row r="15" ht="15" customHeight="1" s="65">
      <c r="A15" s="75" t="inlineStr">
        <is>
          <t>B. Gate sweep (per-image routing)</t>
        </is>
      </c>
      <c r="B15" s="76" t="n"/>
      <c r="C15" s="76" t="n"/>
      <c r="D15" s="76" t="n"/>
      <c r="E15" s="76" t="n"/>
      <c r="F15" s="76" t="n"/>
      <c r="G15" s="76" t="n"/>
      <c r="H15" s="76" t="n"/>
      <c r="I15" s="76" t="n"/>
      <c r="J15" s="76" t="n"/>
      <c r="K15" s="76" t="n"/>
      <c r="L15" s="76" t="n"/>
    </row>
    <row r="16" ht="45" customHeight="1" s="65">
      <c r="A16" s="69" t="inlineStr">
        <is>
          <t>Stage 2</t>
        </is>
      </c>
      <c r="B16" s="69" t="inlineStr">
        <is>
          <t>Gate</t>
        </is>
      </c>
      <c r="C16" s="69" t="inlineStr">
        <is>
          <t>Share to RAD-DINO (val)</t>
        </is>
      </c>
      <c r="D16" s="69" t="inlineStr">
        <is>
          <t>Share to RAD-DINO (test)</t>
        </is>
      </c>
      <c r="E16" s="69" t="inlineStr">
        <is>
          <t>Compute vs RAD-DINO (val)</t>
        </is>
      </c>
      <c r="F16" s="69" t="inlineStr">
        <is>
          <t>Compute vs RAD-DINO (test)</t>
        </is>
      </c>
      <c r="G16" s="69" t="inlineStr">
        <is>
          <t>Macro F1 (val)</t>
        </is>
      </c>
      <c r="H16" s="69" t="inlineStr">
        <is>
          <t>Macro F1 (test)</t>
        </is>
      </c>
      <c r="I16" s="69" t="inlineStr">
        <is>
          <t>Macro AUROC (test)</t>
        </is>
      </c>
      <c r="J16" s="69" t="inlineStr">
        <is>
          <t>Macro recall (test)</t>
        </is>
      </c>
      <c r="K16" s="69" t="inlineStr">
        <is>
          <t>Positive labels missed by CNN (test)</t>
        </is>
      </c>
      <c r="L16" s="69" t="inlineStr">
        <is>
          <t>Selected</t>
        </is>
      </c>
    </row>
    <row r="17" ht="15" customHeight="1" s="65">
      <c r="A17" s="77" t="inlineStr">
        <is>
          <t>RAD-DINO</t>
        </is>
      </c>
      <c r="B17" s="77" t="inlineStr">
        <is>
          <t>flat t=0.70</t>
        </is>
      </c>
      <c r="C17" s="85" t="n">
        <v>0.273080583756345</v>
      </c>
      <c r="D17" s="85" t="n">
        <v>0.569151429910924</v>
      </c>
      <c r="E17" s="83" t="n">
        <v>0.448556266139111</v>
      </c>
      <c r="F17" s="83" t="n">
        <v>0.7446271122936891</v>
      </c>
      <c r="G17" s="101" t="n">
        <v>0.339025548890391</v>
      </c>
      <c r="H17" s="101" t="n">
        <v>0.34715892642327</v>
      </c>
      <c r="I17" s="101" t="n">
        <v>0.830321000597844</v>
      </c>
      <c r="J17" s="101" t="n">
        <v>0.39490705764267</v>
      </c>
      <c r="K17" s="79" t="n">
        <v>7024</v>
      </c>
      <c r="L17" s="77" t="n"/>
    </row>
    <row r="18" ht="15" customHeight="1" s="65">
      <c r="A18" s="103" t="inlineStr">
        <is>
          <t>RAD-DINO</t>
        </is>
      </c>
      <c r="B18" s="103" t="inlineStr">
        <is>
          <t>flat t=0.80</t>
        </is>
      </c>
      <c r="C18" s="113" t="n">
        <v>0.444796954314721</v>
      </c>
      <c r="D18" s="113" t="n">
        <v>0.775668073136428</v>
      </c>
      <c r="E18" s="114" t="n">
        <v>0.620272636697486</v>
      </c>
      <c r="F18" s="114" t="n">
        <v>0.9511437555191929</v>
      </c>
      <c r="G18" s="104" t="n">
        <v>0.366294616930995</v>
      </c>
      <c r="H18" s="104" t="n">
        <v>0.370882366098188</v>
      </c>
      <c r="I18" s="104" t="n">
        <v>0.832475142784691</v>
      </c>
      <c r="J18" s="104" t="n">
        <v>0.445413867527925</v>
      </c>
      <c r="K18" s="115" t="n">
        <v>2593</v>
      </c>
      <c r="L18" s="103" t="inlineStr">
        <is>
          <t>Yes</t>
        </is>
      </c>
    </row>
    <row r="19" ht="15" customHeight="1" s="65">
      <c r="A19" s="77" t="inlineStr">
        <is>
          <t>RAD-DINO</t>
        </is>
      </c>
      <c r="B19" s="77" t="inlineStr">
        <is>
          <t>flat t=0.90</t>
        </is>
      </c>
      <c r="C19" s="85" t="n">
        <v>0.731361040609137</v>
      </c>
      <c r="D19" s="85" t="n">
        <v>0.932762931708079</v>
      </c>
      <c r="E19" s="83" t="n">
        <v>0.906836722991903</v>
      </c>
      <c r="F19" s="83" t="n">
        <v>1.10823861409085</v>
      </c>
      <c r="G19" s="101" t="n">
        <v>0.368781406725029</v>
      </c>
      <c r="H19" s="101" t="n">
        <v>0.379397224097022</v>
      </c>
      <c r="I19" s="101" t="n">
        <v>0.835444094995291</v>
      </c>
      <c r="J19" s="101" t="n">
        <v>0.464045083585712</v>
      </c>
      <c r="K19" s="79" t="n">
        <v>466</v>
      </c>
      <c r="L19" s="77" t="n"/>
    </row>
    <row r="20" ht="15" customHeight="1" s="65">
      <c r="A20" s="77" t="inlineStr">
        <is>
          <t>RAD-DINO</t>
        </is>
      </c>
      <c r="B20" s="77" t="inlineStr">
        <is>
          <t>flat t=0.95</t>
        </is>
      </c>
      <c r="C20" s="85" t="n">
        <v>0.9069638324873101</v>
      </c>
      <c r="D20" s="85" t="n">
        <v>0.982731676824504</v>
      </c>
      <c r="E20" s="83" t="n">
        <v>1.08243951487008</v>
      </c>
      <c r="F20" s="83" t="n">
        <v>1.15820735920727</v>
      </c>
      <c r="G20" s="101" t="n">
        <v>0.371904893777109</v>
      </c>
      <c r="H20" s="101" t="n">
        <v>0.379450041335468</v>
      </c>
      <c r="I20" s="101" t="n">
        <v>0.836322963149859</v>
      </c>
      <c r="J20" s="101" t="n">
        <v>0.464468695284656</v>
      </c>
      <c r="K20" s="79" t="n">
        <v>77</v>
      </c>
      <c r="L20" s="77" t="n"/>
    </row>
    <row r="21" ht="15.75" customHeight="1" s="65">
      <c r="A21" s="77" t="inlineStr">
        <is>
          <t>RAD-DINO</t>
        </is>
      </c>
      <c r="B21" s="77" t="inlineStr">
        <is>
          <t>flat t=0.98</t>
        </is>
      </c>
      <c r="C21" s="85" t="n">
        <v>0.991116751269036</v>
      </c>
      <c r="D21" s="85" t="n">
        <v>0.9985935302391</v>
      </c>
      <c r="E21" s="83" t="n">
        <v>1.1665924336518</v>
      </c>
      <c r="F21" s="83" t="n">
        <v>1.17406921262187</v>
      </c>
      <c r="G21" s="101" t="n">
        <v>0.372182263706806</v>
      </c>
      <c r="H21" s="101" t="n">
        <v>0.378799684026058</v>
      </c>
      <c r="I21" s="101" t="n">
        <v>0.836402033120852</v>
      </c>
      <c r="J21" s="101" t="n">
        <v>0.461560276812893</v>
      </c>
      <c r="K21" s="79" t="n">
        <v>1</v>
      </c>
      <c r="L21" s="77" t="n"/>
    </row>
    <row r="22" ht="15.75" customHeight="1" s="65">
      <c r="A22" s="77" t="inlineStr">
        <is>
          <t>RAD-DINO</t>
        </is>
      </c>
      <c r="B22" s="77" t="inlineStr">
        <is>
          <t>per-class miss&lt;=1%</t>
        </is>
      </c>
      <c r="C22" s="85" t="n">
        <v>0.99563769035533</v>
      </c>
      <c r="D22" s="85" t="n">
        <v>0.998867010470386</v>
      </c>
      <c r="E22" s="83" t="n">
        <v>1.1711133727381</v>
      </c>
      <c r="F22" s="83" t="n">
        <v>1.17434269285315</v>
      </c>
      <c r="G22" s="101" t="n">
        <v>0.372182263706806</v>
      </c>
      <c r="H22" s="101" t="n">
        <v>0.378779775215721</v>
      </c>
      <c r="I22" s="101" t="n">
        <v>0.8363933803713</v>
      </c>
      <c r="J22" s="101" t="n">
        <v>0.461560276812893</v>
      </c>
      <c r="K22" s="79" t="n">
        <v>1</v>
      </c>
      <c r="L22" s="77" t="n"/>
    </row>
    <row r="23" ht="15.75" customHeight="1" s="65">
      <c r="A23" s="77" t="inlineStr">
        <is>
          <t>RAD-DINO</t>
        </is>
      </c>
      <c r="B23" s="77" t="inlineStr">
        <is>
          <t>per-class miss&lt;=2%</t>
        </is>
      </c>
      <c r="C23" s="85" t="n">
        <v>0.989371827411167</v>
      </c>
      <c r="D23" s="85" t="n">
        <v>0.997812158149711</v>
      </c>
      <c r="E23" s="83" t="n">
        <v>1.16484750979393</v>
      </c>
      <c r="F23" s="83" t="n">
        <v>1.17328784053248</v>
      </c>
      <c r="G23" s="101" t="n">
        <v>0.372182263706806</v>
      </c>
      <c r="H23" s="101" t="n">
        <v>0.378779775215721</v>
      </c>
      <c r="I23" s="101" t="n">
        <v>0.836404159654676</v>
      </c>
      <c r="J23" s="101" t="n">
        <v>0.461560276812893</v>
      </c>
      <c r="K23" s="79" t="n">
        <v>3</v>
      </c>
      <c r="L23" s="77" t="n"/>
    </row>
    <row r="24" ht="15.75" customHeight="1" s="65">
      <c r="A24" s="77" t="inlineStr">
        <is>
          <t>RAD-DINO</t>
        </is>
      </c>
      <c r="B24" s="77" t="inlineStr">
        <is>
          <t>per-class miss&lt;=5%</t>
        </is>
      </c>
      <c r="C24" s="85" t="n">
        <v>0.967322335025381</v>
      </c>
      <c r="D24" s="85" t="n">
        <v>0.991248632598844</v>
      </c>
      <c r="E24" s="83" t="n">
        <v>1.14279801740815</v>
      </c>
      <c r="F24" s="83" t="n">
        <v>1.16672431498161</v>
      </c>
      <c r="G24" s="101" t="n">
        <v>0.372151126439476</v>
      </c>
      <c r="H24" s="101" t="n">
        <v>0.378760790179312</v>
      </c>
      <c r="I24" s="101" t="n">
        <v>0.836331437919922</v>
      </c>
      <c r="J24" s="101" t="n">
        <v>0.461516266602524</v>
      </c>
      <c r="K24" s="79" t="n">
        <v>17</v>
      </c>
      <c r="L24" s="77" t="n"/>
    </row>
    <row r="25" ht="15.75" customHeight="1" s="65">
      <c r="A25" s="77" t="inlineStr">
        <is>
          <t>RAD-DINO</t>
        </is>
      </c>
      <c r="B25" s="77" t="inlineStr">
        <is>
          <t>per-class miss&lt;=10%</t>
        </is>
      </c>
      <c r="C25" s="85" t="n">
        <v>0.91243654822335</v>
      </c>
      <c r="D25" s="85" t="n">
        <v>0.979371776840131</v>
      </c>
      <c r="E25" s="83" t="n">
        <v>1.08791223060612</v>
      </c>
      <c r="F25" s="83" t="n">
        <v>1.1548474592229</v>
      </c>
      <c r="G25" s="101" t="n">
        <v>0.372313038404621</v>
      </c>
      <c r="H25" s="101" t="n">
        <v>0.378773143634777</v>
      </c>
      <c r="I25" s="101" t="n">
        <v>0.836143110913237</v>
      </c>
      <c r="J25" s="101" t="n">
        <v>0.46144932608921</v>
      </c>
      <c r="K25" s="79" t="n">
        <v>65</v>
      </c>
      <c r="L25" s="77" t="n"/>
    </row>
    <row r="26" ht="15.75" customHeight="1" s="65">
      <c r="A26" s="77" t="inlineStr">
        <is>
          <t>average</t>
        </is>
      </c>
      <c r="B26" s="77" t="inlineStr">
        <is>
          <t>flat t=0.70</t>
        </is>
      </c>
      <c r="C26" s="85" t="n">
        <v>0.273080583756345</v>
      </c>
      <c r="D26" s="85" t="n">
        <v>0.569151429910924</v>
      </c>
      <c r="E26" s="83" t="n">
        <v>0.448556266139111</v>
      </c>
      <c r="F26" s="83" t="n">
        <v>0.7446271122936891</v>
      </c>
      <c r="G26" s="101" t="n">
        <v>0.340286702811511</v>
      </c>
      <c r="H26" s="101" t="n">
        <v>0.351862137244855</v>
      </c>
      <c r="I26" s="101" t="n">
        <v>0.833857485247529</v>
      </c>
      <c r="J26" s="101" t="n">
        <v>0.378991345210309</v>
      </c>
      <c r="K26" s="79" t="n">
        <v>7024</v>
      </c>
      <c r="L26" s="77" t="n"/>
    </row>
    <row r="27" ht="15.75" customHeight="1" s="65">
      <c r="A27" s="77" t="inlineStr">
        <is>
          <t>average</t>
        </is>
      </c>
      <c r="B27" s="77" t="inlineStr">
        <is>
          <t>flat t=0.80</t>
        </is>
      </c>
      <c r="C27" s="85" t="n">
        <v>0.444796954314721</v>
      </c>
      <c r="D27" s="85" t="n">
        <v>0.775668073136428</v>
      </c>
      <c r="E27" s="83" t="n">
        <v>0.620272636697486</v>
      </c>
      <c r="F27" s="83" t="n">
        <v>0.9511437555191929</v>
      </c>
      <c r="G27" s="101" t="n">
        <v>0.365155078595003</v>
      </c>
      <c r="H27" s="101" t="n">
        <v>0.375193553034166</v>
      </c>
      <c r="I27" s="101" t="n">
        <v>0.837194805640077</v>
      </c>
      <c r="J27" s="101" t="n">
        <v>0.430927187847365</v>
      </c>
      <c r="K27" s="79" t="n">
        <v>2593</v>
      </c>
      <c r="L27" s="77" t="n"/>
    </row>
    <row r="28" ht="15.75" customHeight="1" s="65">
      <c r="A28" s="77" t="inlineStr">
        <is>
          <t>average</t>
        </is>
      </c>
      <c r="B28" s="77" t="inlineStr">
        <is>
          <t>flat t=0.90</t>
        </is>
      </c>
      <c r="C28" s="85" t="n">
        <v>0.731361040609137</v>
      </c>
      <c r="D28" s="85" t="n">
        <v>0.932762931708079</v>
      </c>
      <c r="E28" s="83" t="n">
        <v>0.906836722991903</v>
      </c>
      <c r="F28" s="83" t="n">
        <v>1.10823861409085</v>
      </c>
      <c r="G28" s="101" t="n">
        <v>0.36924676960826</v>
      </c>
      <c r="H28" s="101" t="n">
        <v>0.381959042325372</v>
      </c>
      <c r="I28" s="101" t="n">
        <v>0.8414212869112589</v>
      </c>
      <c r="J28" s="101" t="n">
        <v>0.451463506720996</v>
      </c>
      <c r="K28" s="79" t="n">
        <v>466</v>
      </c>
      <c r="L28" s="77" t="n"/>
    </row>
    <row r="29" ht="15.75" customHeight="1" s="65">
      <c r="A29" s="77" t="inlineStr">
        <is>
          <t>average</t>
        </is>
      </c>
      <c r="B29" s="77" t="inlineStr">
        <is>
          <t>flat t=0.95</t>
        </is>
      </c>
      <c r="C29" s="85" t="n">
        <v>0.9069638324873101</v>
      </c>
      <c r="D29" s="85" t="n">
        <v>0.982731676824504</v>
      </c>
      <c r="E29" s="83" t="n">
        <v>1.08243951487008</v>
      </c>
      <c r="F29" s="83" t="n">
        <v>1.15820735920727</v>
      </c>
      <c r="G29" s="101" t="n">
        <v>0.372463851447957</v>
      </c>
      <c r="H29" s="101" t="n">
        <v>0.383243955878052</v>
      </c>
      <c r="I29" s="101" t="n">
        <v>0.842472371184934</v>
      </c>
      <c r="J29" s="101" t="n">
        <v>0.469355228765294</v>
      </c>
      <c r="K29" s="79" t="n">
        <v>77</v>
      </c>
      <c r="L29" s="77" t="n"/>
    </row>
    <row r="30" ht="15.75" customHeight="1" s="65">
      <c r="A30" s="77" t="inlineStr">
        <is>
          <t>average</t>
        </is>
      </c>
      <c r="B30" s="77" t="inlineStr">
        <is>
          <t>flat t=0.98</t>
        </is>
      </c>
      <c r="C30" s="85" t="n">
        <v>0.991116751269036</v>
      </c>
      <c r="D30" s="85" t="n">
        <v>0.9985935302391</v>
      </c>
      <c r="E30" s="83" t="n">
        <v>1.1665924336518</v>
      </c>
      <c r="F30" s="83" t="n">
        <v>1.17406921262187</v>
      </c>
      <c r="G30" s="101" t="n">
        <v>0.372736275861788</v>
      </c>
      <c r="H30" s="101" t="n">
        <v>0.381789772742632</v>
      </c>
      <c r="I30" s="101" t="n">
        <v>0.8427848561507</v>
      </c>
      <c r="J30" s="101" t="n">
        <v>0.456106884808289</v>
      </c>
      <c r="K30" s="79" t="n">
        <v>1</v>
      </c>
      <c r="L30" s="77" t="n"/>
    </row>
    <row r="31" ht="25.5" customHeight="1" s="65">
      <c r="A31" s="67" t="inlineStr">
        <is>
          <t>Reference, RAD-DINO alone: macro F1 val 0.3722, test 0.3788; macro AUROC test 0.8364. Compute &gt; 1.00 means the cascade costs MORE than running RAD-DINO on every image. Per-class gates (miss ≤ x%) are safe but send ~98–100% of images to RAD-DINO.</t>
        </is>
      </c>
    </row>
    <row r="32" ht="15.75" customHeight="1" s="65"/>
    <row r="33" ht="15.75" customHeight="1" s="65">
      <c r="A33" s="75" t="inlineStr">
        <is>
          <t>C. Why the gate did not transfer: validation vs test for the selected gate (t = 0.80)</t>
        </is>
      </c>
      <c r="B33" s="76" t="n"/>
      <c r="C33" s="76" t="n"/>
      <c r="D33" s="76" t="n"/>
      <c r="E33" s="76" t="n"/>
      <c r="F33" s="76" t="n"/>
      <c r="G33" s="76" t="n"/>
      <c r="H33" s="76" t="n"/>
      <c r="I33" s="76" t="n"/>
      <c r="J33" s="76" t="n"/>
      <c r="K33" s="76" t="n"/>
      <c r="L33" s="76" t="n"/>
    </row>
    <row r="34" ht="30" customHeight="1" s="65">
      <c r="A34" s="69" t="n"/>
      <c r="B34" s="69" t="inlineStr">
        <is>
          <t>Validation</t>
        </is>
      </c>
      <c r="C34" s="69" t="inlineStr">
        <is>
          <t>Test</t>
        </is>
      </c>
      <c r="D34" s="69" t="inlineStr">
        <is>
          <t>Test ÷ validation</t>
        </is>
      </c>
      <c r="E34" s="69" t="inlineStr">
        <is>
          <t>Comment</t>
        </is>
      </c>
      <c r="F34" s="82" t="n"/>
      <c r="G34" s="82" t="n"/>
      <c r="H34" s="82" t="n"/>
      <c r="I34" s="82" t="n"/>
      <c r="J34" s="82" t="n"/>
      <c r="K34" s="82" t="n"/>
      <c r="L34" s="80" t="n"/>
    </row>
    <row r="35" ht="15.75" customHeight="1" s="65">
      <c r="A35" s="70" t="inlineStr">
        <is>
          <t>Share sent to RAD-DINO</t>
        </is>
      </c>
      <c r="B35" s="85" t="n">
        <v>0.444796954314721</v>
      </c>
      <c r="C35" s="85" t="n">
        <v>0.775668073136428</v>
      </c>
      <c r="D35" s="84">
        <f>C35/B35</f>
        <v>1.74387001892013</v>
      </c>
      <c r="E35" s="71" t="inlineStr">
        <is>
          <t>The CNN is unsure about far more test images.</t>
        </is>
      </c>
      <c r="F35" s="82" t="n"/>
      <c r="G35" s="82" t="n"/>
      <c r="H35" s="82" t="n"/>
      <c r="I35" s="82" t="n"/>
      <c r="J35" s="82" t="n"/>
      <c r="K35" s="82" t="n"/>
      <c r="L35" s="80" t="n"/>
    </row>
    <row r="36" ht="15.75" customHeight="1" s="65">
      <c r="A36" s="70" t="inlineStr">
        <is>
          <t>Compute vs RAD-DINO (batch 32)</t>
        </is>
      </c>
      <c r="B36" s="83" t="n">
        <v>0.620272636697486</v>
      </c>
      <c r="C36" s="83" t="n">
        <v>0.9511437555191929</v>
      </c>
      <c r="D36" s="84">
        <f>C36/B36</f>
        <v>1.53342852682227</v>
      </c>
      <c r="E36" s="71" t="inlineStr">
        <is>
          <t>38% saving on validation shrinks to 5% on test.</t>
        </is>
      </c>
      <c r="F36" s="82" t="n"/>
      <c r="G36" s="82" t="n"/>
      <c r="H36" s="82" t="n"/>
      <c r="I36" s="82" t="n"/>
      <c r="J36" s="82" t="n"/>
      <c r="K36" s="82" t="n"/>
      <c r="L36" s="80" t="n"/>
    </row>
    <row r="37" ht="15.75" customHeight="1" s="65">
      <c r="A37" s="70" t="inlineStr">
        <is>
          <t>Positive labels missed by the CNN</t>
        </is>
      </c>
      <c r="B37" s="79" t="n">
        <v>1977</v>
      </c>
      <c r="C37" s="79" t="n">
        <v>2593</v>
      </c>
      <c r="D37" s="84">
        <f>C37/B37</f>
        <v>1.31158320687911</v>
      </c>
      <c r="E37" s="71" t="inlineStr">
        <is>
          <t>Positives on CNN-decided images that the CNN called No.</t>
        </is>
      </c>
      <c r="F37" s="82" t="n"/>
      <c r="G37" s="82" t="n"/>
      <c r="H37" s="82" t="n"/>
      <c r="I37" s="82" t="n"/>
      <c r="J37" s="82" t="n"/>
      <c r="K37" s="82" t="n"/>
      <c r="L37" s="80" t="n"/>
    </row>
    <row r="38" ht="15.75" customHeight="1" s="65">
      <c r="A38" s="70" t="inlineStr">
        <is>
          <t>Findings per image</t>
        </is>
      </c>
      <c r="B38" s="83" t="n">
        <v>0.6132614</v>
      </c>
      <c r="C38" s="83" t="n">
        <v>1.0629004</v>
      </c>
      <c r="D38" s="84">
        <f>C38/B38</f>
        <v>1.73319305601168</v>
      </c>
      <c r="E38" s="71" t="inlineStr">
        <is>
          <t>Sicker test patients (sheet 1, C).</t>
        </is>
      </c>
      <c r="F38" s="82" t="n"/>
      <c r="G38" s="82" t="n"/>
      <c r="H38" s="82" t="n"/>
      <c r="I38" s="82" t="n"/>
      <c r="J38" s="82" t="n"/>
      <c r="K38" s="82" t="n"/>
      <c r="L38" s="80" t="n"/>
    </row>
    <row r="39" ht="15.75" customHeight="1" s="65">
      <c r="A39" s="70" t="inlineStr">
        <is>
          <t>Images per patient</t>
        </is>
      </c>
      <c r="B39" s="83" t="n">
        <v>3.00047596382675</v>
      </c>
      <c r="C39" s="83" t="n">
        <v>9.15123346442617</v>
      </c>
      <c r="D39" s="84">
        <f>C39/B39</f>
        <v>3.04992726979051</v>
      </c>
      <c r="E39" s="71" t="inlineStr">
        <is>
          <t>Many follow-up films in test.</t>
        </is>
      </c>
      <c r="F39" s="82" t="n"/>
      <c r="G39" s="82" t="n"/>
      <c r="H39" s="82" t="n"/>
      <c r="I39" s="82" t="n"/>
      <c r="J39" s="82" t="n"/>
      <c r="K39" s="82" t="n"/>
      <c r="L39" s="80" t="n"/>
    </row>
    <row r="40" ht="39" customHeight="1" s="65">
      <c r="A40" s="67" t="inlineStr">
        <is>
          <t>About 60% of the jump in routing is explained by the measurable case mix (more findings per image, more images per patient). The rest: even test images labelled 'no finding' are routed more often, likely because of more bedside (AP) films, tubes and lines, and noisy labels.</t>
        </is>
      </c>
    </row>
    <row r="41" ht="15.75" customHeight="1" s="65"/>
    <row r="42" ht="15.75" customHeight="1" s="65">
      <c r="A42" s="75" t="inlineStr">
        <is>
          <t>D. Compute: what the cascade actually costs (edit the blue inputs; the rest recalculates)</t>
        </is>
      </c>
      <c r="B42" s="76" t="n"/>
      <c r="C42" s="76" t="n"/>
      <c r="D42" s="76" t="n"/>
      <c r="E42" s="76" t="n"/>
      <c r="F42" s="76" t="n"/>
      <c r="G42" s="76" t="n"/>
      <c r="H42" s="76" t="n"/>
      <c r="I42" s="76" t="n"/>
      <c r="J42" s="76" t="n"/>
      <c r="K42" s="76" t="n"/>
      <c r="L42" s="76" t="n"/>
    </row>
    <row r="43" ht="30" customHeight="1" s="65">
      <c r="A43" s="69" t="inlineStr">
        <is>
          <t>Model</t>
        </is>
      </c>
      <c r="B43" s="69" t="inlineStr">
        <is>
          <t>ms/image, batch 1</t>
        </is>
      </c>
      <c r="C43" s="69" t="inlineStr">
        <is>
          <t>ms/image, batch 32</t>
        </is>
      </c>
      <c r="D43" s="69" t="inlineStr">
        <is>
          <t>Source</t>
        </is>
      </c>
      <c r="E43" s="82" t="n"/>
      <c r="F43" s="82" t="n"/>
      <c r="G43" s="82" t="n"/>
      <c r="H43" s="82" t="n"/>
      <c r="I43" s="82" t="n"/>
      <c r="J43" s="82" t="n"/>
      <c r="K43" s="82" t="n"/>
      <c r="L43" s="80" t="n"/>
    </row>
    <row r="44" ht="15.75" customHeight="1" s="65">
      <c r="A44" s="77" t="inlineStr">
        <is>
          <t>ConvNeXt-Tiny (stage 1)</t>
        </is>
      </c>
      <c r="B44" s="116" t="n">
        <v>11.3715200424194</v>
      </c>
      <c r="C44" s="116" t="n">
        <v>4.00951147079468</v>
      </c>
      <c r="D44" s="77" t="inlineStr">
        <is>
          <t>Measured: forward pass, fp16, Tesla T4, median of 3 repeats (Kaggle session T, 2026-09-24)</t>
        </is>
      </c>
      <c r="E44" s="82" t="n"/>
      <c r="F44" s="82" t="n"/>
      <c r="G44" s="82" t="n"/>
      <c r="H44" s="82" t="n"/>
      <c r="I44" s="82" t="n"/>
      <c r="J44" s="82" t="n"/>
      <c r="K44" s="82" t="n"/>
      <c r="L44" s="80" t="n"/>
    </row>
    <row r="45" ht="15.75" customHeight="1" s="65">
      <c r="A45" s="77" t="inlineStr">
        <is>
          <t>RAD-DINO (stage 2)</t>
        </is>
      </c>
      <c r="B45" s="116" t="n">
        <v>22.1707191467285</v>
      </c>
      <c r="C45" s="116" t="n">
        <v>22.8493852615356</v>
      </c>
      <c r="D45" s="77" t="inlineStr">
        <is>
          <t>Measured: forward pass, fp16, Tesla T4, median of 3 repeats (Kaggle session T, 2026-09-24)</t>
        </is>
      </c>
      <c r="E45" s="82" t="n"/>
      <c r="F45" s="82" t="n"/>
      <c r="G45" s="82" t="n"/>
      <c r="H45" s="82" t="n"/>
      <c r="I45" s="82" t="n"/>
      <c r="J45" s="82" t="n"/>
      <c r="K45" s="82" t="n"/>
      <c r="L45" s="80" t="n"/>
    </row>
    <row r="46" ht="15.75" customHeight="1" s="65"/>
    <row r="47" ht="45" customHeight="1" s="65">
      <c r="A47" s="69" t="inlineStr">
        <is>
          <t>System</t>
        </is>
      </c>
      <c r="B47" s="69" t="inlineStr">
        <is>
          <t>Share to RAD-DINO</t>
        </is>
      </c>
      <c r="C47" s="69" t="inlineStr">
        <is>
          <t>ms/image, batch 32</t>
        </is>
      </c>
      <c r="D47" s="69" t="inlineStr">
        <is>
          <t>Compute vs RAD-DINO, batch 32</t>
        </is>
      </c>
      <c r="E47" s="69" t="inlineStr">
        <is>
          <t>ms/image, batch 1</t>
        </is>
      </c>
      <c r="F47" s="69" t="inlineStr">
        <is>
          <t>Compute vs RAD-DINO, batch 1</t>
        </is>
      </c>
    </row>
    <row r="48" ht="15.75" customHeight="1" s="65">
      <c r="A48" s="77" t="inlineStr">
        <is>
          <t>CNN alone</t>
        </is>
      </c>
      <c r="B48" s="117" t="n">
        <v>0</v>
      </c>
      <c r="C48" s="83">
        <f>$C$44+B48*$C$45</f>
        <v>4.00951147079468</v>
      </c>
      <c r="D48" s="83">
        <f>C48/$C$45</f>
        <v>0.175475682382766</v>
      </c>
      <c r="E48" s="83">
        <f>$B$44+B48*$B$45</f>
        <v>11.3715200424194</v>
      </c>
      <c r="F48" s="83">
        <f>E48/$B$45</f>
        <v>0.512907135179572</v>
      </c>
    </row>
    <row r="49" ht="15.75" customHeight="1" s="65">
      <c r="A49" s="77" t="inlineStr">
        <is>
          <t>RAD-DINO alone</t>
        </is>
      </c>
      <c r="B49" s="117" t="n">
        <v>1</v>
      </c>
      <c r="C49" s="83">
        <f>$C$45</f>
        <v>22.8493852615356</v>
      </c>
      <c r="D49" s="83">
        <f>C49/$C$45</f>
        <v>1</v>
      </c>
      <c r="E49" s="83">
        <f>$B$45</f>
        <v>22.1707191467285</v>
      </c>
      <c r="F49" s="83">
        <f>E49/$B$45</f>
        <v>1</v>
      </c>
    </row>
    <row r="50" ht="15.75" customHeight="1" s="65">
      <c r="A50" s="77" t="inlineStr">
        <is>
          <t>Average of both</t>
        </is>
      </c>
      <c r="B50" s="117" t="n">
        <v>1</v>
      </c>
      <c r="C50" s="83">
        <f>$C$44+$C$45</f>
        <v>26.8588967323303</v>
      </c>
      <c r="D50" s="83">
        <f>C50/$C$45</f>
        <v>1.17547568238277</v>
      </c>
      <c r="E50" s="83">
        <f>$B$44+$B$45</f>
        <v>33.5422391891479</v>
      </c>
      <c r="F50" s="83">
        <f>E50/$B$45</f>
        <v>1.51290713517957</v>
      </c>
    </row>
    <row r="51" ht="15.75" customHeight="1" s="65">
      <c r="A51" s="77" t="inlineStr">
        <is>
          <t>Cascade t=0.80 on validation</t>
        </is>
      </c>
      <c r="B51" s="117" t="n">
        <v>0.444796954314721</v>
      </c>
      <c r="C51" s="83">
        <f>$C$44+B51*$C$45</f>
        <v>14.1728484430894</v>
      </c>
      <c r="D51" s="83">
        <f>C51/$C$45</f>
        <v>0.620272636697487</v>
      </c>
      <c r="E51" s="83">
        <f>$B$44+B51*$B$45</f>
        <v>21.2329883938513</v>
      </c>
      <c r="F51" s="83">
        <f>E51/$B$45</f>
        <v>0.957704089494293</v>
      </c>
    </row>
    <row r="52" ht="15.75" customHeight="1" s="65">
      <c r="A52" s="103" t="inlineStr">
        <is>
          <t>Cascade t=0.80 on test</t>
        </is>
      </c>
      <c r="B52" s="118" t="n">
        <v>0.775668073136428</v>
      </c>
      <c r="C52" s="114">
        <f>$C$44+B52*$C$45</f>
        <v>21.7330501089619</v>
      </c>
      <c r="D52" s="114">
        <f>C52/$C$45</f>
        <v>0.951143755519194</v>
      </c>
      <c r="E52" s="114">
        <f>$B$44+B52*$B$45</f>
        <v>28.5686390430112</v>
      </c>
      <c r="F52" s="114">
        <f>E52/$B$45</f>
        <v>1.288575208316</v>
      </c>
    </row>
    <row r="53" ht="15.75" customHeight="1" s="65">
      <c r="A53" s="70" t="inlineStr">
        <is>
          <t>Break-even share (cascade = RAD-DINO cost)</t>
        </is>
      </c>
      <c r="B53" s="70" t="n"/>
      <c r="C53" s="119">
        <f>1-$C$44/$C$45</f>
        <v>0.824524317617234</v>
      </c>
      <c r="D53" s="70" t="n"/>
      <c r="E53" s="119">
        <f>1-$B$44/$B$45</f>
        <v>0.487092864820428</v>
      </c>
      <c r="F53" s="70" t="n"/>
    </row>
    <row r="54" ht="51.75" customHeight="1" s="65">
      <c r="A54" s="67" t="inlineStr">
        <is>
          <t>Cascade cost = CNN time + share × RAD-DINO time (the two models run one after the other). Break-even columns are the share at which the cascade costs as much as RAD-DINO alone. On test the cascade sends 77.6% of images, just under the 82% break-even at batch 32 (~5% saving) and far above the 49% break-even at batch 1 (29% slower). RAD-DINO gets no per-image speed-up from batching at 518 px, while the CNN does.</t>
        </is>
      </c>
    </row>
    <row r="55" ht="15.75" customHeight="1" s="65"/>
    <row r="56" ht="15.75" customHeight="1" s="65">
      <c r="A56" s="75" t="inlineStr">
        <is>
          <t>E. Per-image vs per-finding routing (flat gates, stage 2 = RAD-DINO)</t>
        </is>
      </c>
      <c r="B56" s="76" t="n"/>
      <c r="C56" s="76" t="n"/>
      <c r="D56" s="76" t="n"/>
      <c r="E56" s="76" t="n"/>
      <c r="F56" s="76" t="n"/>
      <c r="G56" s="76" t="n"/>
      <c r="H56" s="76" t="n"/>
      <c r="I56" s="76" t="n"/>
      <c r="J56" s="76" t="n"/>
      <c r="K56" s="76" t="n"/>
      <c r="L56" s="76" t="n"/>
    </row>
    <row r="57" ht="45" customHeight="1" s="65">
      <c r="A57" s="69" t="inlineStr">
        <is>
          <t>Gate</t>
        </is>
      </c>
      <c r="B57" s="69" t="inlineStr">
        <is>
          <t>Share to RAD-DINO (test)</t>
        </is>
      </c>
      <c r="C57" s="69" t="inlineStr">
        <is>
          <t>Macro F1 (test), per-image</t>
        </is>
      </c>
      <c r="D57" s="69" t="inlineStr">
        <is>
          <t>Macro F1 (test), per-finding</t>
        </is>
      </c>
      <c r="E57" s="69" t="inlineStr">
        <is>
          <t>Labels missed, per-image</t>
        </is>
      </c>
      <c r="F57" s="69" t="inlineStr">
        <is>
          <t>Labels missed, per-finding</t>
        </is>
      </c>
    </row>
    <row r="58" ht="15.75" customHeight="1" s="65">
      <c r="A58" s="77" t="inlineStr">
        <is>
          <t>t=0.70</t>
        </is>
      </c>
      <c r="B58" s="85" t="n">
        <v>0.569151429910924</v>
      </c>
      <c r="C58" s="102" t="n">
        <v>0.34715892642327</v>
      </c>
      <c r="D58" s="101" t="n">
        <v>0.27871127963108</v>
      </c>
      <c r="E58" s="79" t="n">
        <v>7024</v>
      </c>
      <c r="F58" s="79" t="n">
        <v>17305</v>
      </c>
    </row>
    <row r="59" ht="15.75" customHeight="1" s="65">
      <c r="A59" s="77" t="inlineStr">
        <is>
          <t>t=0.80</t>
        </is>
      </c>
      <c r="B59" s="85" t="n">
        <v>0.775668073136428</v>
      </c>
      <c r="C59" s="102" t="n">
        <v>0.370882366098188</v>
      </c>
      <c r="D59" s="101" t="n">
        <v>0.333162028492402</v>
      </c>
      <c r="E59" s="79" t="n">
        <v>2593</v>
      </c>
      <c r="F59" s="79" t="n">
        <v>13249</v>
      </c>
    </row>
    <row r="60" ht="15.75" customHeight="1" s="65">
      <c r="A60" s="77" t="inlineStr">
        <is>
          <t>t=0.90</t>
        </is>
      </c>
      <c r="B60" s="85" t="n">
        <v>0.932762931708079</v>
      </c>
      <c r="C60" s="102" t="n">
        <v>0.379397224097022</v>
      </c>
      <c r="D60" s="101" t="n">
        <v>0.361390746246993</v>
      </c>
      <c r="E60" s="79" t="n">
        <v>466</v>
      </c>
      <c r="F60" s="79" t="n">
        <v>7745</v>
      </c>
    </row>
    <row r="61" ht="15.75" customHeight="1" s="65">
      <c r="A61" s="77" t="inlineStr">
        <is>
          <t>t=0.95</t>
        </is>
      </c>
      <c r="B61" s="85" t="n">
        <v>0.982731676824504</v>
      </c>
      <c r="C61" s="102" t="n">
        <v>0.379450041335468</v>
      </c>
      <c r="D61" s="101" t="n">
        <v>0.370355780204718</v>
      </c>
      <c r="E61" s="79" t="n">
        <v>77</v>
      </c>
      <c r="F61" s="79" t="n">
        <v>4194</v>
      </c>
    </row>
    <row r="62" ht="15.75" customHeight="1" s="65">
      <c r="A62" s="77" t="inlineStr">
        <is>
          <t>t=0.98</t>
        </is>
      </c>
      <c r="B62" s="85" t="n">
        <v>0.9985935302391</v>
      </c>
      <c r="C62" s="102" t="n">
        <v>0.378799684026058</v>
      </c>
      <c r="D62" s="101" t="n">
        <v>0.376788546948374</v>
      </c>
      <c r="E62" s="79" t="n">
        <v>1</v>
      </c>
      <c r="F62" s="79" t="n">
        <v>1512</v>
      </c>
    </row>
    <row r="63" ht="25.5" customHeight="1" s="65">
      <c r="A63" s="67" t="inlineStr">
        <is>
          <t>Per-image routing wins at every gate. Both modes run RAD-DINO on the same images, so they cost the same; per-finding just throws away RAD-DINO's answers for the findings the CNN was 'confident' about.</t>
        </is>
      </c>
    </row>
    <row r="64" ht="15.75" customHeight="1" s="65"/>
    <row r="65" ht="15.75" customHeight="1" s="65">
      <c r="A65" s="75" t="inlineStr">
        <is>
          <t>F. Which diseases does the CNN decide alone? (selected gate, test)</t>
        </is>
      </c>
      <c r="B65" s="76" t="n"/>
      <c r="C65" s="76" t="n"/>
      <c r="D65" s="76" t="n"/>
      <c r="E65" s="76" t="n"/>
      <c r="F65" s="76" t="n"/>
      <c r="G65" s="76" t="n"/>
      <c r="H65" s="76" t="n"/>
      <c r="I65" s="76" t="n"/>
      <c r="J65" s="76" t="n"/>
      <c r="K65" s="76" t="n"/>
      <c r="L65" s="76" t="n"/>
    </row>
    <row r="66" ht="45" customHeight="1" s="65">
      <c r="A66" s="69" t="inlineStr">
        <is>
          <t>Disease</t>
        </is>
      </c>
      <c r="B66" s="69" t="inlineStr">
        <is>
          <t>Test cases</t>
        </is>
      </c>
      <c r="C66" s="69" t="inlineStr">
        <is>
          <t>Images decided by CNN</t>
        </is>
      </c>
      <c r="D66" s="69" t="inlineStr">
        <is>
          <t>Positives missed by CNN</t>
        </is>
      </c>
      <c r="E66" s="69" t="inlineStr">
        <is>
          <t>Share of positives missed</t>
        </is>
      </c>
      <c r="F66" s="69" t="inlineStr">
        <is>
          <t>Recall: cascade</t>
        </is>
      </c>
      <c r="G66" s="69" t="inlineStr">
        <is>
          <t>Recall: RAD-DINO alone</t>
        </is>
      </c>
    </row>
    <row r="67" ht="15.75" customHeight="1" s="65">
      <c r="A67" s="77" t="inlineStr">
        <is>
          <t>Infiltration</t>
        </is>
      </c>
      <c r="B67" s="79" t="n">
        <v>6112</v>
      </c>
      <c r="C67" s="85" t="n">
        <v>0.224331926863572</v>
      </c>
      <c r="D67" s="79" t="n">
        <v>658</v>
      </c>
      <c r="E67" s="85">
        <f>D67/B67</f>
        <v>0.107657068062827</v>
      </c>
      <c r="F67" s="98" t="n">
        <v>0.767506544502618</v>
      </c>
      <c r="G67" s="98" t="n">
        <v>0.786158376963351</v>
      </c>
    </row>
    <row r="68" ht="15.75" customHeight="1" s="65">
      <c r="A68" s="77" t="inlineStr">
        <is>
          <t>Atelectasis</t>
        </is>
      </c>
      <c r="B68" s="79" t="n">
        <v>3279</v>
      </c>
      <c r="C68" s="85" t="n">
        <v>0.224331926863572</v>
      </c>
      <c r="D68" s="79" t="n">
        <v>314</v>
      </c>
      <c r="E68" s="85">
        <f>D68/B68</f>
        <v>0.0957609027142422</v>
      </c>
      <c r="F68" s="98" t="n">
        <v>0.601402866727661</v>
      </c>
      <c r="G68" s="98" t="n">
        <v>0.576700213479719</v>
      </c>
    </row>
    <row r="69" ht="15.75" customHeight="1" s="65">
      <c r="A69" s="77" t="inlineStr">
        <is>
          <t>Nodule</t>
        </is>
      </c>
      <c r="B69" s="79" t="n">
        <v>1623</v>
      </c>
      <c r="C69" s="85" t="n">
        <v>0.224331926863572</v>
      </c>
      <c r="D69" s="79" t="n">
        <v>250</v>
      </c>
      <c r="E69" s="85">
        <f>D69/B69</f>
        <v>0.154035736290819</v>
      </c>
      <c r="F69" s="98" t="n">
        <v>0.281577325939618</v>
      </c>
      <c r="G69" s="98" t="n">
        <v>0.318545902649415</v>
      </c>
    </row>
    <row r="70" ht="15.75" customHeight="1" s="65">
      <c r="A70" s="77" t="inlineStr">
        <is>
          <t>Effusion</t>
        </is>
      </c>
      <c r="B70" s="79" t="n">
        <v>4658</v>
      </c>
      <c r="C70" s="85" t="n">
        <v>0.224331926863572</v>
      </c>
      <c r="D70" s="79" t="n">
        <v>242</v>
      </c>
      <c r="E70" s="85">
        <f>D70/B70</f>
        <v>0.0519536281665951</v>
      </c>
      <c r="F70" s="98" t="n">
        <v>0.652640618291112</v>
      </c>
      <c r="G70" s="98" t="n">
        <v>0.659081150708459</v>
      </c>
    </row>
    <row r="71" ht="15.75" customHeight="1" s="65">
      <c r="A71" s="77" t="inlineStr">
        <is>
          <t>Pneumothorax</t>
        </is>
      </c>
      <c r="B71" s="79" t="n">
        <v>2665</v>
      </c>
      <c r="C71" s="85" t="n">
        <v>0.224331926863572</v>
      </c>
      <c r="D71" s="79" t="n">
        <v>196</v>
      </c>
      <c r="E71" s="85">
        <f>D71/B71</f>
        <v>0.0735459662288931</v>
      </c>
      <c r="F71" s="98" t="n">
        <v>0.586866791744841</v>
      </c>
      <c r="G71" s="98" t="n">
        <v>0.6165103189493431</v>
      </c>
    </row>
    <row r="72" ht="15.75" customHeight="1" s="65">
      <c r="A72" s="77" t="inlineStr">
        <is>
          <t>Mass</t>
        </is>
      </c>
      <c r="B72" s="79" t="n">
        <v>1748</v>
      </c>
      <c r="C72" s="85" t="n">
        <v>0.224331926863572</v>
      </c>
      <c r="D72" s="79" t="n">
        <v>161</v>
      </c>
      <c r="E72" s="85">
        <f>D72/B72</f>
        <v>0.0921052631578947</v>
      </c>
      <c r="F72" s="98" t="n">
        <v>0.480549199084668</v>
      </c>
      <c r="G72" s="98" t="n">
        <v>0.482837528604119</v>
      </c>
    </row>
    <row r="73" ht="15.75" customHeight="1" s="65">
      <c r="A73" s="77" t="inlineStr">
        <is>
          <t>Cardiomegaly</t>
        </is>
      </c>
      <c r="B73" s="79" t="n">
        <v>1069</v>
      </c>
      <c r="C73" s="85" t="n">
        <v>0.224331926863572</v>
      </c>
      <c r="D73" s="79" t="n">
        <v>157</v>
      </c>
      <c r="E73" s="85">
        <f>D73/B73</f>
        <v>0.146866230121609</v>
      </c>
      <c r="F73" s="98" t="n">
        <v>0.427502338634238</v>
      </c>
      <c r="G73" s="98" t="n">
        <v>0.466791393826006</v>
      </c>
    </row>
    <row r="74" ht="15.75" customHeight="1" s="65">
      <c r="A74" s="77" t="inlineStr">
        <is>
          <t>Pleural Thickening</t>
        </is>
      </c>
      <c r="B74" s="79" t="n">
        <v>1143</v>
      </c>
      <c r="C74" s="85" t="n">
        <v>0.224331926863572</v>
      </c>
      <c r="D74" s="79" t="n">
        <v>150</v>
      </c>
      <c r="E74" s="85">
        <f>D74/B74</f>
        <v>0.131233595800525</v>
      </c>
      <c r="F74" s="98" t="n">
        <v>0.439195100612423</v>
      </c>
      <c r="G74" s="98" t="n">
        <v>0.428696412948381</v>
      </c>
    </row>
    <row r="75" ht="15.75" customHeight="1" s="65">
      <c r="A75" s="77" t="inlineStr">
        <is>
          <t>Consolidation</t>
        </is>
      </c>
      <c r="B75" s="79" t="n">
        <v>1815</v>
      </c>
      <c r="C75" s="85" t="n">
        <v>0.224331926863572</v>
      </c>
      <c r="D75" s="79" t="n">
        <v>116</v>
      </c>
      <c r="E75" s="85">
        <f>D75/B75</f>
        <v>0.0639118457300276</v>
      </c>
      <c r="F75" s="98" t="n">
        <v>0.448484848484848</v>
      </c>
      <c r="G75" s="98" t="n">
        <v>0.455096418732782</v>
      </c>
    </row>
    <row r="76" ht="15.75" customHeight="1" s="65">
      <c r="A76" s="77" t="inlineStr">
        <is>
          <t>Fibrosis</t>
        </is>
      </c>
      <c r="B76" s="79" t="n">
        <v>435</v>
      </c>
      <c r="C76" s="85" t="n">
        <v>0.224331926863572</v>
      </c>
      <c r="D76" s="79" t="n">
        <v>113</v>
      </c>
      <c r="E76" s="85">
        <f>D76/B76</f>
        <v>0.259770114942529</v>
      </c>
      <c r="F76" s="98" t="n">
        <v>0.218390804597701</v>
      </c>
      <c r="G76" s="98" t="n">
        <v>0.239080459770115</v>
      </c>
    </row>
    <row r="77" ht="15.75" customHeight="1" s="65">
      <c r="A77" s="77" t="inlineStr">
        <is>
          <t>Emphysema</t>
        </is>
      </c>
      <c r="B77" s="79" t="n">
        <v>1093</v>
      </c>
      <c r="C77" s="85" t="n">
        <v>0.224331926863572</v>
      </c>
      <c r="D77" s="79" t="n">
        <v>107</v>
      </c>
      <c r="E77" s="85">
        <f>D77/B77</f>
        <v>0.0978956999085087</v>
      </c>
      <c r="F77" s="98" t="n">
        <v>0.590118938700823</v>
      </c>
      <c r="G77" s="98" t="n">
        <v>0.62580054894785</v>
      </c>
    </row>
    <row r="78" ht="15.75" customHeight="1" s="65">
      <c r="A78" s="77" t="inlineStr">
        <is>
          <t>Pneumonia</t>
        </is>
      </c>
      <c r="B78" s="79" t="n">
        <v>555</v>
      </c>
      <c r="C78" s="85" t="n">
        <v>0.224331926863572</v>
      </c>
      <c r="D78" s="79" t="n">
        <v>51</v>
      </c>
      <c r="E78" s="85">
        <f>D78/B78</f>
        <v>0.0918918918918919</v>
      </c>
      <c r="F78" s="98" t="n">
        <v>0.08648648648648639</v>
      </c>
      <c r="G78" s="98" t="n">
        <v>0.09009009009009</v>
      </c>
    </row>
    <row r="79" ht="15.75" customHeight="1" s="65">
      <c r="A79" s="77" t="inlineStr">
        <is>
          <t>Edema</t>
        </is>
      </c>
      <c r="B79" s="79" t="n">
        <v>925</v>
      </c>
      <c r="C79" s="85" t="n">
        <v>0.224331926863572</v>
      </c>
      <c r="D79" s="79" t="n">
        <v>51</v>
      </c>
      <c r="E79" s="85">
        <f>D79/B79</f>
        <v>0.0551351351351351</v>
      </c>
      <c r="F79" s="98" t="n">
        <v>0.271351351351351</v>
      </c>
      <c r="G79" s="98" t="n">
        <v>0.274594594594595</v>
      </c>
    </row>
    <row r="80" ht="15.75" customHeight="1" s="65">
      <c r="A80" s="77" t="inlineStr">
        <is>
          <t>Hernia</t>
        </is>
      </c>
      <c r="B80" s="79" t="n">
        <v>86</v>
      </c>
      <c r="C80" s="85" t="n">
        <v>0.224331926863572</v>
      </c>
      <c r="D80" s="79" t="n">
        <v>27</v>
      </c>
      <c r="E80" s="85">
        <f>D80/B80</f>
        <v>0.313953488372093</v>
      </c>
      <c r="F80" s="98" t="n">
        <v>0.383720930232558</v>
      </c>
      <c r="G80" s="98" t="n">
        <v>0.441860465116279</v>
      </c>
    </row>
    <row r="81" ht="15.75" customHeight="1" s="65">
      <c r="A81" s="70" t="inlineStr">
        <is>
          <t>Total</t>
        </is>
      </c>
      <c r="B81" s="108">
        <f>SUM(B67:B80)</f>
        <v>27206</v>
      </c>
      <c r="C81" s="119" t="n">
        <v>0.224331926863572</v>
      </c>
      <c r="D81" s="108">
        <f>SUM(D67:D80)</f>
        <v>2593</v>
      </c>
      <c r="E81" s="119">
        <f>D81/B81</f>
        <v>0.0953098581195325</v>
      </c>
      <c r="F81" s="109" t="n">
        <v>0.445413867527925</v>
      </c>
      <c r="G81" s="109" t="n">
        <v>0.461560276812893</v>
      </c>
    </row>
    <row r="82" ht="39" customHeight="1" s="65">
      <c r="A82" s="67" t="inlineStr">
        <is>
          <t>The gate calls a finding 'confident No' at p ≤ 0.20, but every class's F1 threshold is 0.06–0.33 (mostly 0.10–0.20). So on CNN-decided images the cascade finds only ~4% of the true positives, versus ~28% for RAD-DINO on the same images. Total row recall = macro recall.</t>
        </is>
      </c>
    </row>
    <row r="83" ht="15.75" customHeight="1" s="65"/>
    <row r="84" ht="15.75" customHeight="1" s="65">
      <c r="A84" s="75" t="inlineStr">
        <is>
          <t>G. Findings, limitations and next steps</t>
        </is>
      </c>
      <c r="B84" s="76" t="n"/>
      <c r="C84" s="76" t="n"/>
      <c r="D84" s="76" t="n"/>
      <c r="E84" s="76" t="n"/>
      <c r="F84" s="76" t="n"/>
      <c r="G84" s="76" t="n"/>
      <c r="H84" s="76" t="n"/>
      <c r="I84" s="76" t="n"/>
      <c r="J84" s="76" t="n"/>
      <c r="K84" s="76" t="n"/>
      <c r="L84" s="76" t="n"/>
    </row>
    <row r="85" ht="30" customHeight="1" s="65">
      <c r="A85" s="69" t="inlineStr">
        <is>
          <t>Type</t>
        </is>
      </c>
      <c r="B85" s="69" t="inlineStr">
        <is>
          <t>Statement</t>
        </is>
      </c>
      <c r="C85" s="82" t="n"/>
      <c r="D85" s="82" t="n"/>
      <c r="E85" s="82" t="n"/>
      <c r="F85" s="82" t="n"/>
      <c r="G85" s="82" t="n"/>
      <c r="H85" s="82" t="n"/>
      <c r="I85" s="82" t="n"/>
      <c r="J85" s="82" t="n"/>
      <c r="K85" s="82" t="n"/>
      <c r="L85" s="80" t="n"/>
    </row>
    <row r="86" ht="27.75" customHeight="1" s="65">
      <c r="A86" s="70" t="inlineStr">
        <is>
          <t>Finding</t>
        </is>
      </c>
      <c r="B86" s="71" t="inlineStr">
        <is>
          <t>On the official test set the cascade does not beat RAD-DINO alone: macro AUROC 0.8325 vs 0.8364 and macro F1 0.3709 vs 0.3788 (both significant).</t>
        </is>
      </c>
      <c r="C86" s="82" t="n"/>
      <c r="D86" s="82" t="n"/>
      <c r="E86" s="82" t="n"/>
      <c r="F86" s="82" t="n"/>
      <c r="G86" s="82" t="n"/>
      <c r="H86" s="82" t="n"/>
      <c r="I86" s="82" t="n"/>
      <c r="J86" s="82" t="n"/>
      <c r="K86" s="82" t="n"/>
      <c r="L86" s="80" t="n"/>
    </row>
    <row r="87" ht="27.75" customHeight="1" s="65">
      <c r="A87" s="70" t="inlineStr">
        <is>
          <t>Finding</t>
        </is>
      </c>
      <c r="B87" s="71" t="inlineStr">
        <is>
          <t>Most of that gap is allowed by design: the selection rule accepts up to 0.01 lower validation F1 (it was 0.006 lower on validation).</t>
        </is>
      </c>
      <c r="C87" s="82" t="n"/>
      <c r="D87" s="82" t="n"/>
      <c r="E87" s="82" t="n"/>
      <c r="F87" s="82" t="n"/>
      <c r="G87" s="82" t="n"/>
      <c r="H87" s="82" t="n"/>
      <c r="I87" s="82" t="n"/>
      <c r="J87" s="82" t="n"/>
      <c r="K87" s="82" t="n"/>
      <c r="L87" s="80" t="n"/>
    </row>
    <row r="88" ht="27.75" customHeight="1" s="65">
      <c r="A88" s="90" t="inlineStr">
        <is>
          <t>Finding</t>
        </is>
      </c>
      <c r="B88" s="91" t="inlineStr">
        <is>
          <t>The compute saving disappears: the gate sends 44.5% of validation images but 77.6% of test images to RAD-DINO (compute 0.62 → 0.95 at batch 32).</t>
        </is>
      </c>
      <c r="C88" s="82" t="n"/>
      <c r="D88" s="82" t="n"/>
      <c r="E88" s="82" t="n"/>
      <c r="F88" s="82" t="n"/>
      <c r="G88" s="82" t="n"/>
      <c r="H88" s="82" t="n"/>
      <c r="I88" s="82" t="n"/>
      <c r="J88" s="82" t="n"/>
      <c r="K88" s="82" t="n"/>
      <c r="L88" s="80" t="n"/>
      <c r="M88" s="92" t="n"/>
      <c r="N88" s="92" t="n"/>
      <c r="O88" s="92" t="n"/>
      <c r="P88" s="92" t="n"/>
      <c r="Q88" s="92" t="n"/>
      <c r="R88" s="92" t="n"/>
      <c r="S88" s="92" t="n"/>
      <c r="T88" s="92" t="n"/>
      <c r="U88" s="92" t="n"/>
      <c r="V88" s="92" t="n"/>
      <c r="W88" s="92" t="n"/>
      <c r="X88" s="92" t="n"/>
      <c r="Y88" s="92" t="n"/>
      <c r="Z88" s="92" t="n"/>
    </row>
    <row r="89" ht="27.75" customHeight="1" s="65">
      <c r="A89" s="70" t="inlineStr">
        <is>
          <t>Finding</t>
        </is>
      </c>
      <c r="B89" s="71" t="inlineStr">
        <is>
          <t>Cause: the official test set is a sicker population (1.7x findings per image, 3x images per patient, fewer PA views), so the CNN is unsure about most test images.</t>
        </is>
      </c>
      <c r="C89" s="82" t="n"/>
      <c r="D89" s="82" t="n"/>
      <c r="E89" s="82" t="n"/>
      <c r="F89" s="82" t="n"/>
      <c r="G89" s="82" t="n"/>
      <c r="H89" s="82" t="n"/>
      <c r="I89" s="82" t="n"/>
      <c r="J89" s="82" t="n"/>
      <c r="K89" s="82" t="n"/>
      <c r="L89" s="80" t="n"/>
    </row>
    <row r="90" ht="27.75" customHeight="1" s="65">
      <c r="A90" s="70" t="inlineStr">
        <is>
          <t>Finding</t>
        </is>
      </c>
      <c r="B90" s="71" t="inlineStr">
        <is>
          <t>Forcing the validation routing share (44.5%) onto test would cut macro F1 to 0.311, below the CNN alone. The gate routing more on test was correct behaviour.</t>
        </is>
      </c>
      <c r="C90" s="82" t="n"/>
      <c r="D90" s="82" t="n"/>
      <c r="E90" s="82" t="n"/>
      <c r="F90" s="82" t="n"/>
      <c r="G90" s="82" t="n"/>
      <c r="H90" s="82" t="n"/>
      <c r="I90" s="82" t="n"/>
      <c r="J90" s="82" t="n"/>
      <c r="K90" s="82" t="n"/>
      <c r="L90" s="80" t="n"/>
    </row>
    <row r="91" ht="27.75" customHeight="1" s="65">
      <c r="A91" s="70" t="inlineStr">
        <is>
          <t>Finding</t>
        </is>
      </c>
      <c r="B91" s="71" t="inlineStr">
        <is>
          <t>The average of both models is the most accurate system (AUROC 0.8428, F1 0.3818) but costs 1.18x RAD-DINO.</t>
        </is>
      </c>
      <c r="C91" s="82" t="n"/>
      <c r="D91" s="82" t="n"/>
      <c r="E91" s="82" t="n"/>
      <c r="F91" s="82" t="n"/>
      <c r="G91" s="82" t="n"/>
      <c r="H91" s="82" t="n"/>
      <c r="I91" s="82" t="n"/>
      <c r="J91" s="82" t="n"/>
      <c r="K91" s="82" t="n"/>
      <c r="L91" s="80" t="n"/>
    </row>
    <row r="92" ht="27.75" customHeight="1" s="65">
      <c r="A92" s="70" t="inlineStr">
        <is>
          <t>Limitation</t>
        </is>
      </c>
      <c r="B92" s="71" t="inlineStr">
        <is>
          <t>One training seed: CIs cover test-set sampling only, not training randomness.</t>
        </is>
      </c>
      <c r="C92" s="82" t="n"/>
      <c r="D92" s="82" t="n"/>
      <c r="E92" s="82" t="n"/>
      <c r="F92" s="82" t="n"/>
      <c r="G92" s="82" t="n"/>
      <c r="H92" s="82" t="n"/>
      <c r="I92" s="82" t="n"/>
      <c r="J92" s="82" t="n"/>
      <c r="K92" s="82" t="n"/>
      <c r="L92" s="80" t="n"/>
    </row>
    <row r="93" ht="27.75" customHeight="1" s="65">
      <c r="A93" s="70" t="inlineStr">
        <is>
          <t>Limitation</t>
        </is>
      </c>
      <c r="B93" s="71" t="inlineStr">
        <is>
          <t>Cascade cost is composed from separately measured model latencies (image decoding and routing overhead not included).</t>
        </is>
      </c>
      <c r="C93" s="82" t="n"/>
      <c r="D93" s="82" t="n"/>
      <c r="E93" s="82" t="n"/>
      <c r="F93" s="82" t="n"/>
      <c r="G93" s="82" t="n"/>
      <c r="H93" s="82" t="n"/>
      <c r="I93" s="82" t="n"/>
      <c r="J93" s="82" t="n"/>
      <c r="K93" s="82" t="n"/>
      <c r="L93" s="80" t="n"/>
    </row>
    <row r="94" ht="27.75" customHeight="1" s="65">
      <c r="A94" s="70" t="inlineStr">
        <is>
          <t>Next step</t>
        </is>
      </c>
      <c r="B94" s="71" t="inlineStr">
        <is>
          <t>If compute matters: use a cheaper stage 1 (e.g. ConvNeXt-Tiny at 224 px) to lower the 18% floor, and set the 'confident No' cut-off per class below that class's F1 threshold.</t>
        </is>
      </c>
      <c r="C94" s="82" t="n"/>
      <c r="D94" s="82" t="n"/>
      <c r="E94" s="82" t="n"/>
      <c r="F94" s="82" t="n"/>
      <c r="G94" s="82" t="n"/>
      <c r="H94" s="82" t="n"/>
      <c r="I94" s="82" t="n"/>
      <c r="J94" s="82" t="n"/>
      <c r="K94" s="82" t="n"/>
      <c r="L94" s="80" t="n"/>
    </row>
    <row r="95" ht="27.75" customHeight="1" s="65">
      <c r="A95" s="70" t="inlineStr">
        <is>
          <t>Next step</t>
        </is>
      </c>
      <c r="B95" s="71" t="inlineStr">
        <is>
          <t>Otherwise report the cascade as a negative result on the official split and recommend RAD-DINO alone (or the average if cost is not a concern).</t>
        </is>
      </c>
      <c r="C95" s="82" t="n"/>
      <c r="D95" s="82" t="n"/>
      <c r="E95" s="82" t="n"/>
      <c r="F95" s="82" t="n"/>
      <c r="G95" s="82" t="n"/>
      <c r="H95" s="82" t="n"/>
      <c r="I95" s="82" t="n"/>
      <c r="J95" s="82" t="n"/>
      <c r="K95" s="82" t="n"/>
      <c r="L95" s="80" t="n"/>
    </row>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36">
    <mergeCell ref="A54:L54"/>
    <mergeCell ref="B91:L91"/>
    <mergeCell ref="B7:L7"/>
    <mergeCell ref="B90:L90"/>
    <mergeCell ref="B93:L93"/>
    <mergeCell ref="E39:L39"/>
    <mergeCell ref="A2:L2"/>
    <mergeCell ref="E35:L35"/>
    <mergeCell ref="B12:L12"/>
    <mergeCell ref="D43:L43"/>
    <mergeCell ref="B86:L86"/>
    <mergeCell ref="B11:L11"/>
    <mergeCell ref="E38:L38"/>
    <mergeCell ref="B8:L8"/>
    <mergeCell ref="E34:L34"/>
    <mergeCell ref="B13:L13"/>
    <mergeCell ref="B88:L88"/>
    <mergeCell ref="A63:L63"/>
    <mergeCell ref="B87:L87"/>
    <mergeCell ref="A31:L31"/>
    <mergeCell ref="B10:L10"/>
    <mergeCell ref="E36:L36"/>
    <mergeCell ref="A40:L40"/>
    <mergeCell ref="D44:L44"/>
    <mergeCell ref="B9:L9"/>
    <mergeCell ref="A82:L82"/>
    <mergeCell ref="B92:L92"/>
    <mergeCell ref="B6:L6"/>
    <mergeCell ref="E37:L37"/>
    <mergeCell ref="A1:L1"/>
    <mergeCell ref="B5:L5"/>
    <mergeCell ref="B95:L95"/>
    <mergeCell ref="B89:L89"/>
    <mergeCell ref="D45:L45"/>
    <mergeCell ref="B85:L85"/>
    <mergeCell ref="B94:L94"/>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J6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64" min="1" max="1"/>
    <col width="14" customWidth="1" style="64" min="2" max="2"/>
    <col width="12" customWidth="1" style="64" min="3" max="3"/>
    <col width="14" customWidth="1" style="64" min="4" max="4"/>
    <col width="13" customWidth="1" style="64" min="5" max="5"/>
    <col width="12" customWidth="1" style="64" min="6" max="6"/>
    <col width="13" customWidth="1" style="64" min="8" max="8"/>
    <col width="12" customWidth="1" style="64" min="9" max="9"/>
    <col width="16" customWidth="1" style="64" min="10" max="10"/>
  </cols>
  <sheetData>
    <row r="1" ht="17.25" customHeight="1" s="65">
      <c r="A1" s="120" t="inlineStr">
        <is>
          <t>Two-Stage Cascade — Random Split Experiment (restored, kept separate from sheet 5)</t>
        </is>
      </c>
      <c r="B1" s="121" t="n"/>
      <c r="C1" s="121" t="n"/>
      <c r="D1" s="121" t="n"/>
      <c r="E1" s="121" t="n"/>
      <c r="F1" s="121" t="n"/>
      <c r="G1" s="121" t="n"/>
      <c r="H1" s="121" t="n"/>
      <c r="I1" s="121" t="n"/>
      <c r="J1" s="122" t="n"/>
    </row>
    <row r="2" ht="48" customHeight="1" s="65">
      <c r="A2" s="123" t="inlineStr">
        <is>
          <t>Re-added at the user's request on 2026-09-25. This cascade (ConvNeXt-Tiny -&gt; RAD-DINO, calibrated confidence gate) was evaluated on its own freshly-generated random 70/15/15 split (16,724 test images) -- NOT the official NIH split used in sheet 5 (25,596 test images) and NOT the random split used in sheet 3 (15,917 test images). This sheet was previously removed from this workbook on 2026-09-24 (see Contents, row 12) because the official-split cascade (sheet 5) superseded it as the reported result; it is restored here as a separate, clearly-labelled section. Do not compare these numbers with sheets 3-5.</t>
        </is>
      </c>
      <c r="B2" s="121" t="n"/>
      <c r="C2" s="121" t="n"/>
      <c r="D2" s="121" t="n"/>
      <c r="E2" s="121" t="n"/>
      <c r="F2" s="121" t="n"/>
      <c r="G2" s="121" t="n"/>
      <c r="H2" s="121" t="n"/>
      <c r="I2" s="121" t="n"/>
      <c r="J2" s="122" t="n"/>
    </row>
    <row r="3" ht="15" customHeight="1" s="65">
      <c r="A3" s="124" t="n"/>
      <c r="B3" s="124" t="n"/>
      <c r="C3" s="124" t="n"/>
      <c r="D3" s="124" t="n"/>
      <c r="E3" s="124" t="n"/>
      <c r="F3" s="124" t="n"/>
      <c r="G3" s="124" t="n"/>
      <c r="H3" s="124" t="n"/>
      <c r="I3" s="124" t="n"/>
      <c r="J3" s="124" t="n"/>
    </row>
    <row r="4" ht="26.25" customHeight="1" s="65">
      <c r="A4" s="125" t="inlineStr">
        <is>
          <t>Dataset &amp; Split (this experiment only)</t>
        </is>
      </c>
      <c r="B4" s="124" t="n"/>
      <c r="C4" s="124" t="n"/>
      <c r="D4" s="124" t="n"/>
      <c r="E4" s="124" t="n"/>
      <c r="F4" s="124" t="n"/>
      <c r="G4" s="124" t="n"/>
      <c r="H4" s="124" t="n"/>
      <c r="I4" s="124" t="n"/>
      <c r="J4" s="124" t="n"/>
    </row>
    <row r="5" ht="15" customHeight="1" s="65">
      <c r="A5" s="126" t="inlineStr">
        <is>
          <t>Split</t>
        </is>
      </c>
      <c r="B5" s="126" t="inlineStr">
        <is>
          <t>Images</t>
        </is>
      </c>
      <c r="C5" s="126" t="inlineStr">
        <is>
          <t>Patients</t>
        </is>
      </c>
      <c r="D5" s="124" t="n"/>
      <c r="E5" s="124" t="n"/>
      <c r="F5" s="124" t="n"/>
      <c r="G5" s="124" t="n"/>
      <c r="H5" s="124" t="n"/>
      <c r="I5" s="124" t="n"/>
      <c r="J5" s="124" t="n"/>
    </row>
    <row r="6" ht="15" customHeight="1" s="65">
      <c r="A6" s="127" t="inlineStr">
        <is>
          <t>Train</t>
        </is>
      </c>
      <c r="B6" s="127" t="n">
        <v>78299</v>
      </c>
      <c r="C6" s="127" t="n">
        <v>21563</v>
      </c>
      <c r="D6" s="124" t="n"/>
      <c r="E6" s="124" t="n"/>
      <c r="F6" s="124" t="n"/>
      <c r="G6" s="124" t="n"/>
      <c r="H6" s="124" t="n"/>
      <c r="I6" s="124" t="n"/>
      <c r="J6" s="124" t="n"/>
    </row>
    <row r="7" ht="15" customHeight="1" s="65">
      <c r="A7" s="127" t="inlineStr">
        <is>
          <t>Validation</t>
        </is>
      </c>
      <c r="B7" s="127" t="n">
        <v>17097</v>
      </c>
      <c r="C7" s="127" t="n">
        <v>4621</v>
      </c>
      <c r="D7" s="124" t="n"/>
      <c r="E7" s="124" t="n"/>
      <c r="F7" s="124" t="n"/>
      <c r="G7" s="124" t="n"/>
      <c r="H7" s="124" t="n"/>
      <c r="I7" s="124" t="n"/>
      <c r="J7" s="124" t="n"/>
    </row>
    <row r="8" ht="15" customHeight="1" s="65">
      <c r="A8" s="127" t="inlineStr">
        <is>
          <t>Test</t>
        </is>
      </c>
      <c r="B8" s="127" t="n">
        <v>16724</v>
      </c>
      <c r="C8" s="127" t="n">
        <v>4621</v>
      </c>
      <c r="D8" s="124" t="n"/>
      <c r="E8" s="124" t="n"/>
      <c r="F8" s="124" t="n"/>
      <c r="G8" s="124" t="n"/>
      <c r="H8" s="124" t="n"/>
      <c r="I8" s="124" t="n"/>
      <c r="J8" s="124" t="n"/>
    </row>
    <row r="9" ht="15" customHeight="1" s="65">
      <c r="A9" s="128" t="inlineStr">
        <is>
          <t>Total</t>
        </is>
      </c>
      <c r="B9" s="127" t="n">
        <v>112120</v>
      </c>
      <c r="C9" s="127" t="n">
        <v>30805</v>
      </c>
      <c r="D9" s="124" t="n"/>
      <c r="E9" s="124" t="n"/>
      <c r="F9" s="124" t="n"/>
      <c r="G9" s="124" t="n"/>
      <c r="H9" s="124" t="n"/>
      <c r="I9" s="124" t="n"/>
      <c r="J9" s="124" t="n"/>
    </row>
    <row r="10" ht="27.75" customHeight="1" s="65">
      <c r="A10" s="129" t="inlineStr">
        <is>
          <t>Random patient-level split (~70/15/15); no patient appears in more than one split. This split is different in size from the 15,917-image test set used on sheets 1–9, so it is a different dataset partition, not a rerun on the same held-out images.</t>
        </is>
      </c>
      <c r="B10" s="121" t="n"/>
      <c r="C10" s="121" t="n"/>
      <c r="D10" s="121" t="n"/>
      <c r="E10" s="121" t="n"/>
      <c r="F10" s="121" t="n"/>
      <c r="G10" s="121" t="n"/>
      <c r="H10" s="121" t="n"/>
      <c r="I10" s="121" t="n"/>
      <c r="J10" s="122" t="n"/>
    </row>
    <row r="11" ht="15" customHeight="1" s="65">
      <c r="A11" s="124" t="n"/>
      <c r="B11" s="124" t="n"/>
      <c r="C11" s="124" t="n"/>
      <c r="D11" s="124" t="n"/>
      <c r="E11" s="124" t="n"/>
      <c r="F11" s="124" t="n"/>
      <c r="G11" s="124" t="n"/>
      <c r="H11" s="124" t="n"/>
      <c r="I11" s="124" t="n"/>
      <c r="J11" s="124" t="n"/>
    </row>
    <row r="12" ht="51.75" customHeight="1" s="65">
      <c r="A12" s="125" t="inlineStr">
        <is>
          <t>Main Comparison — Test Set, 16,724 Images (this experiment's own numbers)</t>
        </is>
      </c>
      <c r="B12" s="124" t="n"/>
      <c r="C12" s="124" t="n"/>
      <c r="D12" s="124" t="n"/>
      <c r="E12" s="124" t="n"/>
      <c r="F12" s="124" t="n"/>
      <c r="G12" s="124" t="n"/>
      <c r="H12" s="124" t="n"/>
      <c r="I12" s="124" t="n"/>
      <c r="J12" s="124" t="n"/>
    </row>
    <row r="13" ht="15" customHeight="1" s="65">
      <c r="A13" s="126" t="inlineStr">
        <is>
          <t>System</t>
        </is>
      </c>
      <c r="B13" s="126" t="inlineStr">
        <is>
          <t>→ Stage 2</t>
        </is>
      </c>
      <c r="C13" s="126" t="inlineStr">
        <is>
          <t>ms/image</t>
        </is>
      </c>
      <c r="D13" s="126" t="inlineStr">
        <is>
          <t>Macro AUROC</t>
        </is>
      </c>
      <c r="E13" s="126" t="inlineStr">
        <is>
          <t>Macro AUPRC</t>
        </is>
      </c>
      <c r="F13" s="126" t="inlineStr">
        <is>
          <t>Precision</t>
        </is>
      </c>
      <c r="G13" s="126" t="inlineStr">
        <is>
          <t>Recall</t>
        </is>
      </c>
      <c r="H13" s="126" t="inlineStr">
        <is>
          <t>Specificity</t>
        </is>
      </c>
      <c r="I13" s="126" t="inlineStr">
        <is>
          <t>Macro F1</t>
        </is>
      </c>
      <c r="J13" s="126" t="inlineStr">
        <is>
          <t>Micro F1</t>
        </is>
      </c>
    </row>
    <row r="14" ht="15" customHeight="1" s="65">
      <c r="A14" s="127" t="inlineStr">
        <is>
          <t>CNN alone (ConvNeXt-Tiny)</t>
        </is>
      </c>
      <c r="B14" s="127" t="inlineStr">
        <is>
          <t>0%</t>
        </is>
      </c>
      <c r="C14" s="127" t="n">
        <v>4.5</v>
      </c>
      <c r="D14" s="127" t="n">
        <v>0.8577</v>
      </c>
      <c r="E14" s="127" t="n">
        <v>0.2921</v>
      </c>
      <c r="F14" s="127" t="n">
        <v>0.323</v>
      </c>
      <c r="G14" s="127" t="n">
        <v>0.4305</v>
      </c>
      <c r="H14" s="127" t="n">
        <v>0.9412</v>
      </c>
      <c r="I14" s="127" t="n">
        <v>0.3535</v>
      </c>
      <c r="J14" s="127" t="n">
        <v>0.4001</v>
      </c>
    </row>
    <row r="15" ht="15" customHeight="1" s="65">
      <c r="A15" s="127" t="inlineStr">
        <is>
          <t>RAD-DINO alone</t>
        </is>
      </c>
      <c r="B15" s="127" t="inlineStr">
        <is>
          <t>100%</t>
        </is>
      </c>
      <c r="C15" s="127" t="n">
        <v>27.3</v>
      </c>
      <c r="D15" s="127" t="n">
        <v>0.8622</v>
      </c>
      <c r="E15" s="127" t="n">
        <v>0.2948</v>
      </c>
      <c r="F15" s="127" t="n">
        <v>0.3191</v>
      </c>
      <c r="G15" s="127" t="n">
        <v>0.4136</v>
      </c>
      <c r="H15" s="127" t="n">
        <v>0.9435</v>
      </c>
      <c r="I15" s="127" t="n">
        <v>0.3504</v>
      </c>
      <c r="J15" s="127" t="n">
        <v>0.4051</v>
      </c>
    </row>
    <row r="16" ht="15" customHeight="1" s="65">
      <c r="A16" s="127" t="inlineStr">
        <is>
          <t>Average of both</t>
        </is>
      </c>
      <c r="B16" s="127" t="inlineStr">
        <is>
          <t>100%</t>
        </is>
      </c>
      <c r="C16" s="127" t="n">
        <v>31.8</v>
      </c>
      <c r="D16" s="127" t="n">
        <v>0.8698</v>
      </c>
      <c r="E16" s="127" t="n">
        <v>0.3095</v>
      </c>
      <c r="F16" s="127" t="n">
        <v>0.3257</v>
      </c>
      <c r="G16" s="127" t="n">
        <v>0.4321</v>
      </c>
      <c r="H16" s="127" t="n">
        <v>0.9468</v>
      </c>
      <c r="I16" s="127" t="n">
        <v>0.36</v>
      </c>
      <c r="J16" s="127" t="n">
        <v>0.4134</v>
      </c>
    </row>
    <row r="17" ht="15" customHeight="1" s="65">
      <c r="A17" s="130" t="inlineStr">
        <is>
          <t>Cascade t=0.80 (selected)</t>
        </is>
      </c>
      <c r="B17" s="130" t="inlineStr">
        <is>
          <t>53.4%</t>
        </is>
      </c>
      <c r="C17" s="130" t="n">
        <v>19.1</v>
      </c>
      <c r="D17" s="130" t="n">
        <v>0.8653999999999999</v>
      </c>
      <c r="E17" s="130" t="n">
        <v>0.3072</v>
      </c>
      <c r="F17" s="130" t="n">
        <v>0.3328</v>
      </c>
      <c r="G17" s="130" t="n">
        <v>0.4316</v>
      </c>
      <c r="H17" s="131" t="n">
        <v>0.9482</v>
      </c>
      <c r="I17" s="131" t="n">
        <v>0.3721</v>
      </c>
      <c r="J17" s="130" t="n">
        <v>0.4128</v>
      </c>
    </row>
    <row r="18" ht="15" customHeight="1" s="65">
      <c r="A18" s="127" t="inlineStr">
        <is>
          <t>Cascade t=0.90</t>
        </is>
      </c>
      <c r="B18" s="127" t="inlineStr">
        <is>
          <t>80.1%</t>
        </is>
      </c>
      <c r="C18" s="127" t="n">
        <v>26.4</v>
      </c>
      <c r="D18" s="127" t="n">
        <v>0.8682</v>
      </c>
      <c r="E18" s="127" t="n">
        <v>0.3092</v>
      </c>
      <c r="F18" s="127" t="n">
        <v>0.3295</v>
      </c>
      <c r="G18" s="127" t="n">
        <v>0.425</v>
      </c>
      <c r="H18" s="127" t="n">
        <v>0.9481000000000001</v>
      </c>
      <c r="I18" s="127" t="n">
        <v>0.3601</v>
      </c>
      <c r="J18" s="127" t="n">
        <v>0.4134</v>
      </c>
    </row>
    <row r="19" ht="27.75" customHeight="1" s="65">
      <c r="A19" s="129" t="inlineStr">
        <is>
          <t>Selected configuration: per-image routing, Stage 2 = average of CNN and RAD-DINO logits (free once the CNN has run). Chosen automatically as the setting sending the fewest images to Stage 2 while keeping validation macro F1 within 0.01 of RAD-DINO alone.</t>
        </is>
      </c>
      <c r="B19" s="121" t="n"/>
      <c r="C19" s="121" t="n"/>
      <c r="D19" s="121" t="n"/>
      <c r="E19" s="121" t="n"/>
      <c r="F19" s="121" t="n"/>
      <c r="G19" s="121" t="n"/>
      <c r="H19" s="121" t="n"/>
      <c r="I19" s="121" t="n"/>
      <c r="J19" s="122" t="n"/>
    </row>
    <row r="20" ht="15" customHeight="1" s="65">
      <c r="A20" s="124" t="n"/>
      <c r="B20" s="124" t="n"/>
      <c r="C20" s="124" t="n"/>
      <c r="D20" s="124" t="n"/>
      <c r="E20" s="124" t="n"/>
      <c r="F20" s="124" t="n"/>
      <c r="G20" s="124" t="n"/>
      <c r="H20" s="124" t="n"/>
      <c r="I20" s="124" t="n"/>
      <c r="J20" s="124" t="n"/>
    </row>
    <row r="21" ht="15.75" customHeight="1" s="65">
      <c r="A21" s="125" t="inlineStr">
        <is>
          <t>Statistical Significance (300 patient-level bootstrap resamples, 95% CI)</t>
        </is>
      </c>
      <c r="B21" s="124" t="n"/>
      <c r="C21" s="124" t="n"/>
      <c r="D21" s="124" t="n"/>
      <c r="E21" s="124" t="n"/>
      <c r="F21" s="124" t="n"/>
      <c r="G21" s="124" t="n"/>
      <c r="H21" s="124" t="n"/>
      <c r="I21" s="124" t="n"/>
      <c r="J21" s="124" t="n"/>
    </row>
    <row r="22" ht="15.75" customHeight="1" s="65">
      <c r="A22" s="126" t="inlineStr">
        <is>
          <t>Comparison</t>
        </is>
      </c>
      <c r="B22" s="126" t="inlineStr">
        <is>
          <t>Difference</t>
        </is>
      </c>
      <c r="C22" s="126" t="inlineStr">
        <is>
          <t>95% CI low</t>
        </is>
      </c>
      <c r="D22" s="126" t="inlineStr">
        <is>
          <t>95% CI high</t>
        </is>
      </c>
      <c r="E22" s="126" t="inlineStr">
        <is>
          <t>Significant</t>
        </is>
      </c>
      <c r="F22" s="124" t="n"/>
      <c r="G22" s="124" t="n"/>
      <c r="H22" s="124" t="n"/>
      <c r="I22" s="124" t="n"/>
      <c r="J22" s="124" t="n"/>
    </row>
    <row r="23" ht="15.75" customHeight="1" s="65">
      <c r="A23" s="127" t="inlineStr">
        <is>
          <t>Cascade − RAD-DINO, macro AUROC</t>
        </is>
      </c>
      <c r="B23" s="127" t="n">
        <v>0.0032</v>
      </c>
      <c r="C23" s="127" t="n">
        <v>-0.0004</v>
      </c>
      <c r="D23" s="127" t="n">
        <v>0.0078</v>
      </c>
      <c r="E23" s="128" t="inlineStr">
        <is>
          <t>No</t>
        </is>
      </c>
      <c r="F23" s="124" t="n"/>
      <c r="G23" s="124" t="n"/>
      <c r="H23" s="124" t="n"/>
      <c r="I23" s="124" t="n"/>
      <c r="J23" s="124" t="n"/>
    </row>
    <row r="24" ht="15.75" customHeight="1" s="65">
      <c r="A24" s="132" t="inlineStr">
        <is>
          <t>Cascade − RAD-DINO, macro F1</t>
        </is>
      </c>
      <c r="B24" s="132" t="n">
        <v>0.0217</v>
      </c>
      <c r="C24" s="132" t="n">
        <v>0.0061</v>
      </c>
      <c r="D24" s="132" t="n">
        <v>0.0364</v>
      </c>
      <c r="E24" s="130" t="inlineStr">
        <is>
          <t>Yes</t>
        </is>
      </c>
      <c r="F24" s="124" t="n"/>
      <c r="G24" s="124" t="n"/>
      <c r="H24" s="124" t="n"/>
      <c r="I24" s="124" t="n"/>
      <c r="J24" s="124" t="n"/>
    </row>
    <row r="25" ht="15.75" customHeight="1" s="65">
      <c r="A25" s="132" t="inlineStr">
        <is>
          <t>Average − RAD-DINO, macro AUROC</t>
        </is>
      </c>
      <c r="B25" s="132" t="n">
        <v>0.0076</v>
      </c>
      <c r="C25" s="132" t="n">
        <v>0.0047</v>
      </c>
      <c r="D25" s="132" t="n">
        <v>0.0116</v>
      </c>
      <c r="E25" s="130" t="inlineStr">
        <is>
          <t>Yes</t>
        </is>
      </c>
      <c r="F25" s="124" t="n"/>
      <c r="G25" s="124" t="n"/>
      <c r="H25" s="124" t="n"/>
      <c r="I25" s="124" t="n"/>
      <c r="J25" s="124" t="n"/>
    </row>
    <row r="26" ht="15.75" customHeight="1" s="65">
      <c r="A26" s="132" t="inlineStr">
        <is>
          <t>Average − RAD-DINO, macro F1</t>
        </is>
      </c>
      <c r="B26" s="132" t="n">
        <v>0.009599999999999999</v>
      </c>
      <c r="C26" s="132" t="n">
        <v>0.0007</v>
      </c>
      <c r="D26" s="132" t="n">
        <v>0.0209</v>
      </c>
      <c r="E26" s="130" t="inlineStr">
        <is>
          <t>Yes</t>
        </is>
      </c>
      <c r="F26" s="124" t="n"/>
      <c r="G26" s="124" t="n"/>
      <c r="H26" s="124" t="n"/>
      <c r="I26" s="124" t="n"/>
      <c r="J26" s="124" t="n"/>
    </row>
    <row r="27" ht="15.75" customHeight="1" s="65">
      <c r="A27" s="124" t="n"/>
      <c r="B27" s="124" t="n"/>
      <c r="C27" s="124" t="n"/>
      <c r="D27" s="124" t="n"/>
      <c r="E27" s="124" t="n"/>
      <c r="F27" s="124" t="n"/>
      <c r="G27" s="124" t="n"/>
      <c r="H27" s="124" t="n"/>
      <c r="I27" s="124" t="n"/>
      <c r="J27" s="124" t="n"/>
    </row>
    <row r="28" ht="15.75" customHeight="1" s="65">
      <c r="A28" s="125" t="inlineStr">
        <is>
          <t>Routing Sweep (per-image routing, Stage 2 = average)</t>
        </is>
      </c>
      <c r="B28" s="124" t="n"/>
      <c r="C28" s="124" t="n"/>
      <c r="D28" s="124" t="n"/>
      <c r="E28" s="124" t="n"/>
      <c r="F28" s="124" t="n"/>
      <c r="G28" s="124" t="n"/>
      <c r="H28" s="124" t="n"/>
      <c r="I28" s="124" t="n"/>
      <c r="J28" s="124" t="n"/>
    </row>
    <row r="29" ht="15.75" customHeight="1" s="65">
      <c r="A29" s="126" t="inlineStr">
        <is>
          <t>Threshold</t>
        </is>
      </c>
      <c r="B29" s="126" t="inlineStr">
        <is>
          <t>→ Stage 2</t>
        </is>
      </c>
      <c r="C29" s="126" t="inlineStr">
        <is>
          <t>ms/image</t>
        </is>
      </c>
      <c r="D29" s="126" t="inlineStr">
        <is>
          <t>Compute vs RAD-DINO</t>
        </is>
      </c>
      <c r="E29" s="126" t="inlineStr">
        <is>
          <t>Macro AUROC</t>
        </is>
      </c>
      <c r="F29" s="126" t="inlineStr">
        <is>
          <t>Macro F1</t>
        </is>
      </c>
      <c r="G29" s="126" t="inlineStr">
        <is>
          <t>Recall</t>
        </is>
      </c>
      <c r="H29" s="126" t="inlineStr">
        <is>
          <t>Labels missed by CNN</t>
        </is>
      </c>
      <c r="I29" s="124" t="n"/>
      <c r="J29" s="124" t="n"/>
    </row>
    <row r="30" ht="15.75" customHeight="1" s="65">
      <c r="A30" s="127" t="inlineStr">
        <is>
          <t>t = 0.70</t>
        </is>
      </c>
      <c r="B30" s="127" t="inlineStr">
        <is>
          <t>35.8%</t>
        </is>
      </c>
      <c r="C30" s="127" t="n">
        <v>14.3</v>
      </c>
      <c r="D30" s="127" t="n">
        <v>0.52</v>
      </c>
      <c r="E30" s="127" t="n">
        <v>0.8625</v>
      </c>
      <c r="F30" s="127" t="n">
        <v>0.3481</v>
      </c>
      <c r="G30" s="127" t="n">
        <v>0.375</v>
      </c>
      <c r="H30" s="127" t="n">
        <v>4380</v>
      </c>
      <c r="I30" s="124" t="n"/>
      <c r="J30" s="124" t="n"/>
    </row>
    <row r="31" ht="15.75" customHeight="1" s="65">
      <c r="A31" s="130" t="inlineStr">
        <is>
          <t>t = 0.80 (selected)</t>
        </is>
      </c>
      <c r="B31" s="130" t="inlineStr">
        <is>
          <t>53.4%</t>
        </is>
      </c>
      <c r="C31" s="130" t="n">
        <v>19.1</v>
      </c>
      <c r="D31" s="130" t="n">
        <v>0.7</v>
      </c>
      <c r="E31" s="130" t="n">
        <v>0.8653999999999999</v>
      </c>
      <c r="F31" s="130" t="n">
        <v>0.3721</v>
      </c>
      <c r="G31" s="130" t="n">
        <v>0.4316</v>
      </c>
      <c r="H31" s="130" t="n">
        <v>2318</v>
      </c>
      <c r="I31" s="124" t="n"/>
      <c r="J31" s="124" t="n"/>
    </row>
    <row r="32" ht="15.75" customHeight="1" s="65">
      <c r="A32" s="127" t="inlineStr">
        <is>
          <t>t = 0.90</t>
        </is>
      </c>
      <c r="B32" s="127" t="inlineStr">
        <is>
          <t>80.1%</t>
        </is>
      </c>
      <c r="C32" s="127" t="n">
        <v>26.4</v>
      </c>
      <c r="D32" s="127" t="n">
        <v>0.97</v>
      </c>
      <c r="E32" s="127" t="n">
        <v>0.8682</v>
      </c>
      <c r="F32" s="127" t="n">
        <v>0.3601</v>
      </c>
      <c r="G32" s="127" t="n">
        <v>0.425</v>
      </c>
      <c r="H32" s="127" t="n">
        <v>565</v>
      </c>
      <c r="I32" s="124" t="n"/>
      <c r="J32" s="124" t="n"/>
    </row>
    <row r="33" ht="15.75" customHeight="1" s="65">
      <c r="A33" s="127" t="inlineStr">
        <is>
          <t>t = 0.95</t>
        </is>
      </c>
      <c r="B33" s="127" t="inlineStr">
        <is>
          <t>93.5%</t>
        </is>
      </c>
      <c r="C33" s="127" t="n">
        <v>30.1</v>
      </c>
      <c r="D33" s="127" t="n">
        <v>1.1</v>
      </c>
      <c r="E33" s="127" t="n">
        <v>0.869</v>
      </c>
      <c r="F33" s="127" t="n">
        <v>0.36</v>
      </c>
      <c r="G33" s="127" t="n">
        <v>0.432</v>
      </c>
      <c r="H33" s="127" t="n">
        <v>123</v>
      </c>
      <c r="I33" s="124" t="n"/>
      <c r="J33" s="124" t="n"/>
    </row>
    <row r="34" ht="15.75" customHeight="1" s="65">
      <c r="A34" s="127" t="inlineStr">
        <is>
          <t>t = 0.98</t>
        </is>
      </c>
      <c r="B34" s="127" t="inlineStr">
        <is>
          <t>99.4%</t>
        </is>
      </c>
      <c r="C34" s="127" t="n">
        <v>31.7</v>
      </c>
      <c r="D34" s="127" t="n">
        <v>1.16</v>
      </c>
      <c r="E34" s="127" t="n">
        <v>0.8698</v>
      </c>
      <c r="F34" s="127" t="n">
        <v>0.36</v>
      </c>
      <c r="G34" s="127" t="n">
        <v>0.4321</v>
      </c>
      <c r="H34" s="127" t="n">
        <v>7</v>
      </c>
      <c r="I34" s="124" t="n"/>
      <c r="J34" s="124" t="n"/>
    </row>
    <row r="35" ht="27.75" customHeight="1" s="65">
      <c r="A35" s="129" t="inlineStr">
        <is>
          <t>"Labels missed by CNN" = positive ground-truth labels in images the CNN decided alone (called negative) — findings the transformer never saw. This is the safety cost of routing and should be read alongside the compute saving.</t>
        </is>
      </c>
      <c r="B35" s="121" t="n"/>
      <c r="C35" s="121" t="n"/>
      <c r="D35" s="121" t="n"/>
      <c r="E35" s="121" t="n"/>
      <c r="F35" s="121" t="n"/>
      <c r="G35" s="121" t="n"/>
      <c r="H35" s="121" t="n"/>
      <c r="I35" s="121" t="n"/>
      <c r="J35" s="122" t="n"/>
    </row>
    <row r="36" ht="15.75" customHeight="1" s="65">
      <c r="A36" s="124" t="n"/>
      <c r="B36" s="124" t="n"/>
      <c r="C36" s="124" t="n"/>
      <c r="D36" s="124" t="n"/>
      <c r="E36" s="124" t="n"/>
      <c r="F36" s="124" t="n"/>
      <c r="G36" s="124" t="n"/>
      <c r="H36" s="124" t="n"/>
      <c r="I36" s="124" t="n"/>
      <c r="J36" s="124" t="n"/>
    </row>
    <row r="37" ht="15.75" customHeight="1" s="65">
      <c r="A37" s="125" t="inlineStr">
        <is>
          <t>Per-Class Results — Earlier Analysis Run Only (t=0.90, Stage 2 = RAD-DINO alone; NOT the final selected configuration)</t>
        </is>
      </c>
      <c r="B37" s="124" t="n"/>
      <c r="C37" s="124" t="n"/>
      <c r="D37" s="124" t="n"/>
      <c r="E37" s="124" t="n"/>
      <c r="F37" s="124" t="n"/>
      <c r="G37" s="124" t="n"/>
      <c r="H37" s="124" t="n"/>
      <c r="I37" s="124" t="n"/>
      <c r="J37" s="124" t="n"/>
    </row>
    <row r="38" ht="15.75" customHeight="1" s="65">
      <c r="A38" s="129" t="inlineStr">
        <is>
          <t>Shown to illustrate per-disease behaviour and the cascade-vs-transformer pattern. Regenerate from cascade_per_class.csv for the final configuration (t=0.80, Stage 2 = average) before citing per-class numbers.</t>
        </is>
      </c>
      <c r="B38" s="121" t="n"/>
      <c r="C38" s="121" t="n"/>
      <c r="D38" s="121" t="n"/>
      <c r="E38" s="121" t="n"/>
      <c r="F38" s="121" t="n"/>
      <c r="G38" s="121" t="n"/>
      <c r="H38" s="121" t="n"/>
      <c r="I38" s="121" t="n"/>
      <c r="J38" s="122" t="n"/>
    </row>
    <row r="39" ht="15.75" customHeight="1" s="65">
      <c r="A39" s="126" t="inlineStr">
        <is>
          <t>Finding</t>
        </is>
      </c>
      <c r="B39" s="126" t="inlineStr">
        <is>
          <t>Support</t>
        </is>
      </c>
      <c r="C39" s="126" t="inlineStr">
        <is>
          <t>AUROC (cascade)</t>
        </is>
      </c>
      <c r="D39" s="126" t="inlineStr">
        <is>
          <t>AUROC (ViT)</t>
        </is>
      </c>
      <c r="E39" s="126" t="inlineStr">
        <is>
          <t>AUPRC (cascade)</t>
        </is>
      </c>
      <c r="F39" s="126" t="inlineStr">
        <is>
          <t>AUPRC (ViT)</t>
        </is>
      </c>
      <c r="G39" s="126" t="inlineStr">
        <is>
          <t>Precision</t>
        </is>
      </c>
      <c r="H39" s="126" t="inlineStr">
        <is>
          <t>Recall</t>
        </is>
      </c>
      <c r="I39" s="126" t="inlineStr">
        <is>
          <t>F1 (cascade)</t>
        </is>
      </c>
      <c r="J39" s="126" t="inlineStr">
        <is>
          <t>F1 (ViT)</t>
        </is>
      </c>
    </row>
    <row r="40" ht="15.75" customHeight="1" s="65">
      <c r="A40" s="127" t="inlineStr">
        <is>
          <t>Atelectasis</t>
        </is>
      </c>
      <c r="B40" s="127" t="n">
        <v>1691</v>
      </c>
      <c r="C40" s="127" t="n">
        <v>0.842</v>
      </c>
      <c r="D40" s="127" t="n">
        <v>0.844</v>
      </c>
      <c r="E40" s="127" t="n">
        <v>0.41</v>
      </c>
      <c r="F40" s="127" t="n">
        <v>0.409</v>
      </c>
      <c r="G40" s="127" t="n">
        <v>0.343</v>
      </c>
      <c r="H40" s="127" t="n">
        <v>0.611</v>
      </c>
      <c r="I40" s="127" t="n">
        <v>0.44</v>
      </c>
      <c r="J40" s="127" t="n">
        <v>0.438</v>
      </c>
    </row>
    <row r="41" ht="15.75" customHeight="1" s="65">
      <c r="A41" s="127" t="inlineStr">
        <is>
          <t>Cardiomegaly</t>
        </is>
      </c>
      <c r="B41" s="127" t="n">
        <v>426</v>
      </c>
      <c r="C41" s="127" t="n">
        <v>0.918</v>
      </c>
      <c r="D41" s="127" t="n">
        <v>0.915</v>
      </c>
      <c r="E41" s="127" t="n">
        <v>0.306</v>
      </c>
      <c r="F41" s="127" t="n">
        <v>0.304</v>
      </c>
      <c r="G41" s="127" t="n">
        <v>0.347</v>
      </c>
      <c r="H41" s="127" t="n">
        <v>0.462</v>
      </c>
      <c r="I41" s="127" t="n">
        <v>0.397</v>
      </c>
      <c r="J41" s="127" t="n">
        <v>0.377</v>
      </c>
    </row>
    <row r="42" ht="15.75" customHeight="1" s="65">
      <c r="A42" s="127" t="inlineStr">
        <is>
          <t>Effusion</t>
        </is>
      </c>
      <c r="B42" s="127" t="n">
        <v>1935</v>
      </c>
      <c r="C42" s="127" t="n">
        <v>0.894</v>
      </c>
      <c r="D42" s="127" t="n">
        <v>0.894</v>
      </c>
      <c r="E42" s="127" t="n">
        <v>0.549</v>
      </c>
      <c r="F42" s="127" t="n">
        <v>0.549</v>
      </c>
      <c r="G42" s="127" t="n">
        <v>0.508</v>
      </c>
      <c r="H42" s="127" t="n">
        <v>0.614</v>
      </c>
      <c r="I42" s="127" t="n">
        <v>0.556</v>
      </c>
      <c r="J42" s="127" t="n">
        <v>0.556</v>
      </c>
    </row>
    <row r="43" ht="15.75" customHeight="1" s="65">
      <c r="A43" s="127" t="inlineStr">
        <is>
          <t>Infiltration</t>
        </is>
      </c>
      <c r="B43" s="127" t="n">
        <v>2941</v>
      </c>
      <c r="C43" s="127" t="n">
        <v>0.713</v>
      </c>
      <c r="D43" s="127" t="n">
        <v>0.709</v>
      </c>
      <c r="E43" s="127" t="n">
        <v>0.341</v>
      </c>
      <c r="F43" s="127" t="n">
        <v>0.339</v>
      </c>
      <c r="G43" s="127" t="n">
        <v>0.333</v>
      </c>
      <c r="H43" s="127" t="n">
        <v>0.518</v>
      </c>
      <c r="I43" s="127" t="n">
        <v>0.405</v>
      </c>
      <c r="J43" s="127" t="n">
        <v>0.401</v>
      </c>
    </row>
    <row r="44" ht="15.75" customHeight="1" s="65">
      <c r="A44" s="127" t="inlineStr">
        <is>
          <t>Mass</t>
        </is>
      </c>
      <c r="B44" s="127" t="n">
        <v>835</v>
      </c>
      <c r="C44" s="127" t="n">
        <v>0.894</v>
      </c>
      <c r="D44" s="127" t="n">
        <v>0.897</v>
      </c>
      <c r="E44" s="127" t="n">
        <v>0.414</v>
      </c>
      <c r="F44" s="127" t="n">
        <v>0.417</v>
      </c>
      <c r="G44" s="127" t="n">
        <v>0.43</v>
      </c>
      <c r="H44" s="127" t="n">
        <v>0.502</v>
      </c>
      <c r="I44" s="127" t="n">
        <v>0.463</v>
      </c>
      <c r="J44" s="127" t="n">
        <v>0.462</v>
      </c>
    </row>
    <row r="45" ht="15.75" customHeight="1" s="65">
      <c r="A45" s="127" t="inlineStr">
        <is>
          <t>Nodule</t>
        </is>
      </c>
      <c r="B45" s="127" t="n">
        <v>930</v>
      </c>
      <c r="C45" s="127" t="n">
        <v>0.827</v>
      </c>
      <c r="D45" s="127" t="n">
        <v>0.83</v>
      </c>
      <c r="E45" s="127" t="n">
        <v>0.288</v>
      </c>
      <c r="F45" s="127" t="n">
        <v>0.288</v>
      </c>
      <c r="G45" s="127" t="n">
        <v>0.368</v>
      </c>
      <c r="H45" s="127" t="n">
        <v>0.369</v>
      </c>
      <c r="I45" s="127" t="n">
        <v>0.368</v>
      </c>
      <c r="J45" s="127" t="n">
        <v>0.367</v>
      </c>
    </row>
    <row r="46" ht="15.75" customHeight="1" s="65">
      <c r="A46" s="127" t="inlineStr">
        <is>
          <t>Pneumonia</t>
        </is>
      </c>
      <c r="B46" s="127" t="n">
        <v>220</v>
      </c>
      <c r="C46" s="127" t="n">
        <v>0.768</v>
      </c>
      <c r="D46" s="127" t="n">
        <v>0.767</v>
      </c>
      <c r="E46" s="127" t="n">
        <v>0.047</v>
      </c>
      <c r="F46" s="127" t="n">
        <v>0.047</v>
      </c>
      <c r="G46" s="127" t="n">
        <v>0.075</v>
      </c>
      <c r="H46" s="127" t="n">
        <v>0.186</v>
      </c>
      <c r="I46" s="127" t="n">
        <v>0.106</v>
      </c>
      <c r="J46" s="127" t="n">
        <v>0.106</v>
      </c>
    </row>
    <row r="47" ht="15.75" customHeight="1" s="65">
      <c r="A47" s="127" t="inlineStr">
        <is>
          <t>Pneumothorax</t>
        </is>
      </c>
      <c r="B47" s="127" t="n">
        <v>810</v>
      </c>
      <c r="C47" s="127" t="n">
        <v>0.906</v>
      </c>
      <c r="D47" s="127" t="n">
        <v>0.909</v>
      </c>
      <c r="E47" s="127" t="n">
        <v>0.38</v>
      </c>
      <c r="F47" s="127" t="n">
        <v>0.378</v>
      </c>
      <c r="G47" s="127" t="n">
        <v>0.404</v>
      </c>
      <c r="H47" s="127" t="n">
        <v>0.51</v>
      </c>
      <c r="I47" s="127" t="n">
        <v>0.451</v>
      </c>
      <c r="J47" s="127" t="n">
        <v>0.451</v>
      </c>
    </row>
    <row r="48" ht="15.75" customHeight="1" s="65">
      <c r="A48" s="127" t="inlineStr">
        <is>
          <t>Consolidation</t>
        </is>
      </c>
      <c r="B48" s="127" t="n">
        <v>692</v>
      </c>
      <c r="C48" s="127" t="n">
        <v>0.83</v>
      </c>
      <c r="D48" s="127" t="n">
        <v>0.83</v>
      </c>
      <c r="E48" s="127" t="n">
        <v>0.17</v>
      </c>
      <c r="F48" s="127" t="n">
        <v>0.17</v>
      </c>
      <c r="G48" s="127" t="n">
        <v>0.182</v>
      </c>
      <c r="H48" s="127" t="n">
        <v>0.439</v>
      </c>
      <c r="I48" s="127" t="n">
        <v>0.257</v>
      </c>
      <c r="J48" s="127" t="n">
        <v>0.258</v>
      </c>
    </row>
    <row r="49" ht="15.75" customHeight="1" s="65">
      <c r="A49" s="127" t="inlineStr">
        <is>
          <t>Edema</t>
        </is>
      </c>
      <c r="B49" s="127" t="n">
        <v>333</v>
      </c>
      <c r="C49" s="127" t="n">
        <v>0.896</v>
      </c>
      <c r="D49" s="127" t="n">
        <v>0.896</v>
      </c>
      <c r="E49" s="127" t="n">
        <v>0.184</v>
      </c>
      <c r="F49" s="127" t="n">
        <v>0.183</v>
      </c>
      <c r="G49" s="127" t="n">
        <v>0.26</v>
      </c>
      <c r="H49" s="127" t="n">
        <v>0.282</v>
      </c>
      <c r="I49" s="127" t="n">
        <v>0.271</v>
      </c>
      <c r="J49" s="127" t="n">
        <v>0.27</v>
      </c>
    </row>
    <row r="50" ht="15.75" customHeight="1" s="65">
      <c r="A50" s="127" t="inlineStr">
        <is>
          <t>Emphysema</t>
        </is>
      </c>
      <c r="B50" s="127" t="n">
        <v>417</v>
      </c>
      <c r="C50" s="127" t="n">
        <v>0.946</v>
      </c>
      <c r="D50" s="127" t="n">
        <v>0.946</v>
      </c>
      <c r="E50" s="127" t="n">
        <v>0.422</v>
      </c>
      <c r="F50" s="127" t="n">
        <v>0.422</v>
      </c>
      <c r="G50" s="127" t="n">
        <v>0.429</v>
      </c>
      <c r="H50" s="127" t="n">
        <v>0.662</v>
      </c>
      <c r="I50" s="127" t="n">
        <v>0.52</v>
      </c>
      <c r="J50" s="127" t="n">
        <v>0.519</v>
      </c>
    </row>
    <row r="51" ht="15.75" customHeight="1" s="65">
      <c r="A51" s="127" t="inlineStr">
        <is>
          <t>Fibrosis</t>
        </is>
      </c>
      <c r="B51" s="127" t="n">
        <v>281</v>
      </c>
      <c r="C51" s="127" t="n">
        <v>0.842</v>
      </c>
      <c r="D51" s="127" t="n">
        <v>0.847</v>
      </c>
      <c r="E51" s="127" t="n">
        <v>0.141</v>
      </c>
      <c r="F51" s="127" t="n">
        <v>0.144</v>
      </c>
      <c r="G51" s="127" t="n">
        <v>0.262</v>
      </c>
      <c r="H51" s="127" t="n">
        <v>0.16</v>
      </c>
      <c r="I51" s="127" t="n">
        <v>0.199</v>
      </c>
      <c r="J51" s="127" t="n">
        <v>0.186</v>
      </c>
    </row>
    <row r="52" ht="15.75" customHeight="1" s="65">
      <c r="A52" s="127" t="inlineStr">
        <is>
          <t>Pleural Thickening</t>
        </is>
      </c>
      <c r="B52" s="127" t="n">
        <v>497</v>
      </c>
      <c r="C52" s="127" t="n">
        <v>0.833</v>
      </c>
      <c r="D52" s="127" t="n">
        <v>0.835</v>
      </c>
      <c r="E52" s="127" t="n">
        <v>0.161</v>
      </c>
      <c r="F52" s="127" t="n">
        <v>0.163</v>
      </c>
      <c r="G52" s="127" t="n">
        <v>0.218</v>
      </c>
      <c r="H52" s="127" t="n">
        <v>0.247</v>
      </c>
      <c r="I52" s="127" t="n">
        <v>0.232</v>
      </c>
      <c r="J52" s="127" t="n">
        <v>0.237</v>
      </c>
    </row>
    <row r="53" ht="15.75" customHeight="1" s="65">
      <c r="A53" s="127" t="inlineStr">
        <is>
          <t>Hernia</t>
        </is>
      </c>
      <c r="B53" s="127" t="n">
        <v>43</v>
      </c>
      <c r="C53" s="127" t="n">
        <v>0.95</v>
      </c>
      <c r="D53" s="127" t="n">
        <v>0.952</v>
      </c>
      <c r="E53" s="127" t="n">
        <v>0.323</v>
      </c>
      <c r="F53" s="127" t="n">
        <v>0.314</v>
      </c>
      <c r="G53" s="127" t="n">
        <v>0.429</v>
      </c>
      <c r="H53" s="127" t="n">
        <v>0.209</v>
      </c>
      <c r="I53" s="127" t="n">
        <v>0.281</v>
      </c>
      <c r="J53" s="127" t="n">
        <v>0.277</v>
      </c>
    </row>
    <row r="54" ht="15.75" customHeight="1" s="65">
      <c r="A54" s="124" t="n"/>
      <c r="B54" s="124" t="n"/>
      <c r="C54" s="124" t="n"/>
      <c r="D54" s="124" t="n"/>
      <c r="E54" s="124" t="n"/>
      <c r="F54" s="124" t="n"/>
      <c r="G54" s="124" t="n"/>
      <c r="H54" s="124" t="n"/>
      <c r="I54" s="124" t="n"/>
      <c r="J54" s="124" t="n"/>
    </row>
    <row r="55" ht="15.75" customHeight="1" s="65">
      <c r="A55" s="125" t="inlineStr">
        <is>
          <t>Key Takeaways (from this experiment only)</t>
        </is>
      </c>
      <c r="B55" s="124" t="n"/>
      <c r="C55" s="124" t="n"/>
      <c r="D55" s="124" t="n"/>
      <c r="E55" s="124" t="n"/>
      <c r="F55" s="124" t="n"/>
      <c r="G55" s="124" t="n"/>
      <c r="H55" s="124" t="n"/>
      <c r="I55" s="124" t="n"/>
      <c r="J55" s="124" t="n"/>
    </row>
    <row r="56" ht="27.75" customHeight="1" s="65">
      <c r="A56" s="133" t="inlineStr">
        <is>
          <t>• The cascade (per-image routing, Stage 2 = average) raises macro F1 from 0.3504 (RAD-DINO alone) to 0.3721 — a statistically significant gain — at 30% less inference compute (19.1 ms/image vs 27.3 ms/image).</t>
        </is>
      </c>
      <c r="B56" s="121" t="n"/>
      <c r="C56" s="121" t="n"/>
      <c r="D56" s="121" t="n"/>
      <c r="E56" s="121" t="n"/>
      <c r="F56" s="121" t="n"/>
      <c r="G56" s="121" t="n"/>
      <c r="H56" s="121" t="n"/>
      <c r="I56" s="121" t="n"/>
      <c r="J56" s="122" t="n"/>
    </row>
    <row r="57" ht="27.75" customHeight="1" s="65">
      <c r="A57" s="133" t="inlineStr">
        <is>
          <t>• The macro AUROC gain of the cascade over RAD-DINO alone (+0.0032) is NOT statistically significant. Most of the accuracy benefit comes from averaging two models with different error patterns, not from the routing itself — averaging both models on every image is significantly better than either alone (+0.0076 AUROC, +0.0096 F1).</t>
        </is>
      </c>
      <c r="B57" s="121" t="n"/>
      <c r="C57" s="121" t="n"/>
      <c r="D57" s="121" t="n"/>
      <c r="E57" s="121" t="n"/>
      <c r="F57" s="121" t="n"/>
      <c r="G57" s="121" t="n"/>
      <c r="H57" s="121" t="n"/>
      <c r="I57" s="121" t="n"/>
      <c r="J57" s="122" t="n"/>
    </row>
    <row r="58" ht="27.75" customHeight="1" s="65">
      <c r="A58" s="133" t="inlineStr">
        <is>
          <t>• Per-image routing clearly beats per-finding routing (e.g. at t=0.70: macro F1 0.3395 vs 0.2801, recall 0.367 vs 0.239).</t>
        </is>
      </c>
      <c r="B58" s="121" t="n"/>
      <c r="C58" s="121" t="n"/>
      <c r="D58" s="121" t="n"/>
      <c r="E58" s="121" t="n"/>
      <c r="F58" s="121" t="n"/>
      <c r="G58" s="121" t="n"/>
      <c r="H58" s="121" t="n"/>
      <c r="I58" s="121" t="n"/>
      <c r="J58" s="122" t="n"/>
    </row>
    <row r="59" ht="27.75" customHeight="1" s="65">
      <c r="A59" s="133" t="inlineStr">
        <is>
          <t>• A per-class safety gate (routing based on per-class miss budgets) was impractical: it routed 93–100% of images regardless of setting, mainly because of Infiltration (17.6% prevalence, weak AUROC ≈ 0.71).</t>
        </is>
      </c>
      <c r="B59" s="121" t="n"/>
      <c r="C59" s="121" t="n"/>
      <c r="D59" s="121" t="n"/>
      <c r="E59" s="121" t="n"/>
      <c r="F59" s="121" t="n"/>
      <c r="G59" s="121" t="n"/>
      <c r="H59" s="121" t="n"/>
      <c r="I59" s="121" t="n"/>
      <c r="J59" s="122" t="n"/>
    </row>
    <row r="60" ht="27.75" customHeight="1" s="65">
      <c r="A60" s="133" t="inlineStr">
        <is>
          <t>• Threshold choice is a policy trade-off: t=0.80 gives the largest compute saving (53.4% routed); t=0.90 minimizes findings the transformer never sees (565 vs 2,318 missed labels) at higher compute (80.1% routed).</t>
        </is>
      </c>
      <c r="B60" s="121" t="n"/>
      <c r="C60" s="121" t="n"/>
      <c r="D60" s="121" t="n"/>
      <c r="E60" s="121" t="n"/>
      <c r="F60" s="121" t="n"/>
      <c r="G60" s="121" t="n"/>
      <c r="H60" s="121" t="n"/>
      <c r="I60" s="121" t="n"/>
      <c r="J60" s="122" t="n"/>
    </row>
    <row r="61" ht="15.75" customHeight="1" s="65">
      <c r="A61" s="124" t="n"/>
      <c r="B61" s="124" t="n"/>
      <c r="C61" s="124" t="n"/>
      <c r="D61" s="124" t="n"/>
      <c r="E61" s="124" t="n"/>
      <c r="F61" s="124" t="n"/>
      <c r="G61" s="124" t="n"/>
      <c r="H61" s="124" t="n"/>
      <c r="I61" s="124" t="n"/>
      <c r="J61" s="124" t="n"/>
    </row>
    <row r="62" ht="15.75" customHeight="1" s="65">
      <c r="A62" s="125" t="inlineStr">
        <is>
          <t>Limitations Carried Over From the Source Report</t>
        </is>
      </c>
      <c r="B62" s="124" t="n"/>
      <c r="C62" s="124" t="n"/>
      <c r="D62" s="124" t="n"/>
      <c r="E62" s="124" t="n"/>
      <c r="F62" s="124" t="n"/>
      <c r="G62" s="124" t="n"/>
      <c r="H62" s="124" t="n"/>
      <c r="I62" s="124" t="n"/>
      <c r="J62" s="124" t="n"/>
    </row>
    <row r="63" ht="25.5" customHeight="1" s="65">
      <c r="A63" s="133" t="inlineStr">
        <is>
          <t>• Split is not the official NIH split and is not the split used elsewhere in this workbook — do not compare these numbers with sheets 1–9.</t>
        </is>
      </c>
      <c r="B63" s="121" t="n"/>
      <c r="C63" s="121" t="n"/>
      <c r="D63" s="121" t="n"/>
      <c r="E63" s="121" t="n"/>
      <c r="F63" s="121" t="n"/>
      <c r="G63" s="121" t="n"/>
      <c r="H63" s="121" t="n"/>
      <c r="I63" s="121" t="n"/>
      <c r="J63" s="122" t="n"/>
    </row>
    <row r="64" ht="25.5" customHeight="1" s="65">
      <c r="A64" s="133" t="inlineStr">
        <is>
          <t>• Ground-truth labels are text-mined from radiology reports, not verified against images, capping achievable performance for all models.</t>
        </is>
      </c>
      <c r="B64" s="121" t="n"/>
      <c r="C64" s="121" t="n"/>
      <c r="D64" s="121" t="n"/>
      <c r="E64" s="121" t="n"/>
      <c r="F64" s="121" t="n"/>
      <c r="G64" s="121" t="n"/>
      <c r="H64" s="121" t="n"/>
      <c r="I64" s="121" t="n"/>
      <c r="J64" s="122" t="n"/>
    </row>
    <row r="65" ht="25.5" customHeight="1" s="65">
      <c r="A65" s="133" t="inlineStr">
        <is>
          <t>• F1 is threshold-sensitive: RAD-DINO's macro F1 fell from 0.371 (validation) to 0.350 (test) while the CNN's was stable. AUROC is the more reliable cross-model comparison.</t>
        </is>
      </c>
      <c r="B65" s="121" t="n"/>
      <c r="C65" s="121" t="n"/>
      <c r="D65" s="121" t="n"/>
      <c r="E65" s="121" t="n"/>
      <c r="F65" s="121" t="n"/>
      <c r="G65" s="121" t="n"/>
      <c r="H65" s="121" t="n"/>
      <c r="I65" s="121" t="n"/>
      <c r="J65" s="122" t="n"/>
    </row>
    <row r="66" ht="25.5" customHeight="1" s="65">
      <c r="A66" s="133" t="inlineStr">
        <is>
          <t>• The cascade's F1 edge over the full ensemble is not firmly established: it wins on test (0.372 vs 0.360) but the order reverses on validation (0.366 vs 0.375). The safe claim is "comparable accuracy at lower compute," not "better accuracy."</t>
        </is>
      </c>
      <c r="B66" s="121" t="n"/>
      <c r="C66" s="121" t="n"/>
      <c r="D66" s="121" t="n"/>
      <c r="E66" s="121" t="n"/>
      <c r="F66" s="121" t="n"/>
      <c r="G66" s="121" t="n"/>
      <c r="H66" s="121" t="n"/>
      <c r="I66" s="121" t="n"/>
      <c r="J66" s="122" t="n"/>
    </row>
    <row r="67" ht="25.5" customHeight="1" s="65">
      <c r="A67" s="133" t="inlineStr">
        <is>
          <t>• Routing has a safety cost: at t=0.80, 2,318 positive labels sit in images the CNN decided alone and called negative — the transformer never saw them.</t>
        </is>
      </c>
      <c r="B67" s="121" t="n"/>
      <c r="C67" s="121" t="n"/>
      <c r="D67" s="121" t="n"/>
      <c r="E67" s="121" t="n"/>
      <c r="F67" s="121" t="n"/>
      <c r="G67" s="121" t="n"/>
      <c r="H67" s="121" t="n"/>
      <c r="I67" s="121" t="n"/>
      <c r="J67" s="122" t="n"/>
    </row>
    <row r="68" ht="25.5" customHeight="1" s="65">
      <c r="A68" s="133" t="inlineStr">
        <is>
          <t>• Hernia has only 43 test positives, so its metrics carry wide uncertainty.</t>
        </is>
      </c>
      <c r="B68" s="121" t="n"/>
      <c r="C68" s="121" t="n"/>
      <c r="D68" s="121" t="n"/>
      <c r="E68" s="121" t="n"/>
      <c r="F68" s="121" t="n"/>
      <c r="G68" s="121" t="n"/>
      <c r="H68" s="121" t="n"/>
      <c r="I68" s="121" t="n"/>
      <c r="J68" s="122" t="n"/>
    </row>
    <row r="69" ht="25.5" customHeight="1" s="65">
      <c r="A69" s="133" t="inlineStr">
        <is>
          <t>• Compute figures cover only the model forward pass, excluding shared image loading/preprocessing.</t>
        </is>
      </c>
      <c r="B69" s="121" t="n"/>
      <c r="C69" s="121" t="n"/>
      <c r="D69" s="121" t="n"/>
      <c r="E69" s="121" t="n"/>
      <c r="F69" s="121" t="n"/>
      <c r="G69" s="121" t="n"/>
      <c r="H69" s="121" t="n"/>
      <c r="I69" s="121" t="n"/>
      <c r="J69" s="122" t="n"/>
    </row>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18">
    <mergeCell ref="A1:J1"/>
    <mergeCell ref="A63:J63"/>
    <mergeCell ref="A58:J58"/>
    <mergeCell ref="A56:J56"/>
    <mergeCell ref="A67:J67"/>
    <mergeCell ref="A69:J69"/>
    <mergeCell ref="A35:J35"/>
    <mergeCell ref="A59:J59"/>
    <mergeCell ref="A65:J65"/>
    <mergeCell ref="A57:J57"/>
    <mergeCell ref="A38:J38"/>
    <mergeCell ref="A2:J2"/>
    <mergeCell ref="A19:J19"/>
    <mergeCell ref="A64:J64"/>
    <mergeCell ref="A10:J10"/>
    <mergeCell ref="A60:J60"/>
    <mergeCell ref="A68:J68"/>
    <mergeCell ref="A66:J6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M138"/>
  <sheetViews>
    <sheetView workbookViewId="0">
      <pane ySplit="3" topLeftCell="A4" activePane="bottomLeft" state="frozen"/>
      <selection pane="bottomLeft" activeCell="A1" sqref="A1"/>
    </sheetView>
  </sheetViews>
  <sheetFormatPr baseColWidth="8" defaultRowHeight="15"/>
  <cols>
    <col width="34" customWidth="1" style="65" min="1" max="1"/>
    <col width="15" customWidth="1" style="65" min="2" max="2"/>
    <col width="15" customWidth="1" style="65" min="3" max="3"/>
    <col width="15" customWidth="1" style="65" min="4" max="4"/>
    <col width="15" customWidth="1" style="65" min="5" max="5"/>
    <col width="15" customWidth="1" style="65" min="6" max="6"/>
    <col width="15" customWidth="1" style="65" min="7" max="7"/>
    <col width="15" customWidth="1" style="65" min="8" max="8"/>
    <col width="15" customWidth="1" style="65" min="9" max="9"/>
    <col width="13" customWidth="1" style="65" min="10" max="10"/>
    <col width="13" customWidth="1" style="65" min="11" max="11"/>
    <col width="13" customWidth="1" style="65" min="12" max="12"/>
    <col width="16" customWidth="1" style="65" min="13" max="13"/>
  </cols>
  <sheetData>
    <row r="1" ht="24" customHeight="1" s="65">
      <c r="A1" s="134" t="inlineStr">
        <is>
          <t>7. Distillation: CNN (ConvNeXt-Tiny) taught by the CNN + RAD-DINO average — official split, seed 42</t>
        </is>
      </c>
      <c r="B1" s="135" t="n"/>
      <c r="C1" s="135" t="n"/>
      <c r="D1" s="135" t="n"/>
      <c r="E1" s="135" t="n"/>
      <c r="F1" s="135" t="n"/>
      <c r="G1" s="135" t="n"/>
      <c r="H1" s="135" t="n"/>
      <c r="I1" s="135" t="n"/>
      <c r="J1" s="135" t="n"/>
      <c r="K1" s="135" t="n"/>
      <c r="L1" s="135" t="n"/>
    </row>
    <row r="2" ht="30" customHeight="1" s="65">
      <c r="A2" s="136" t="inlineStr">
        <is>
          <t>RAD-DINO is used only while training: its knowledge is copied into a new ConvNeXt-Tiny, which then runs alone at test time (CNN cost). Rules fixed before the run in evaluation_protocol.yaml v2.2.0. Source: results_distill (T10, T11, distill_go_no_go.json, train_log.csv, qc_session_D.json); reference systems link to sheets 4 and 5.</t>
        </is>
      </c>
    </row>
    <row r="4">
      <c r="A4" s="137" t="inlineStr">
        <is>
          <t>A. How it works</t>
        </is>
      </c>
      <c r="B4" s="138" t="n"/>
      <c r="C4" s="138" t="n"/>
      <c r="D4" s="138" t="n"/>
      <c r="E4" s="138" t="n"/>
      <c r="F4" s="138" t="n"/>
      <c r="G4" s="138" t="n"/>
      <c r="H4" s="138" t="n"/>
      <c r="I4" s="138" t="n"/>
      <c r="J4" s="138" t="n"/>
      <c r="K4" s="138" t="n"/>
      <c r="L4" s="138" t="n"/>
    </row>
    <row r="5" ht="20" customHeight="1" s="65">
      <c r="A5" s="139" t="inlineStr">
        <is>
          <t>Component</t>
        </is>
      </c>
      <c r="B5" s="139" t="inlineStr">
        <is>
          <t>Details</t>
        </is>
      </c>
      <c r="C5" s="82" t="n"/>
      <c r="D5" s="82" t="n"/>
      <c r="E5" s="82" t="n"/>
      <c r="F5" s="82" t="n"/>
      <c r="G5" s="82" t="n"/>
      <c r="H5" s="82" t="n"/>
      <c r="I5" s="82" t="n"/>
      <c r="J5" s="82" t="n"/>
      <c r="K5" s="82" t="n"/>
      <c r="L5" s="80" t="n"/>
    </row>
    <row r="6" ht="30" customHeight="1" s="65">
      <c r="A6" s="140" t="inlineStr">
        <is>
          <t>Why</t>
        </is>
      </c>
      <c r="B6" s="141" t="inlineStr">
        <is>
          <t>The cascade (sheet 5) failed because the CNN's misses are silent: a finding it cannot see gets a low score, so no gate can tell it apart from a true negative. Instead of routing at test time, RAD-DINO's knowledge is moved into the CNN during training.</t>
        </is>
      </c>
      <c r="C6" s="142" t="n"/>
      <c r="D6" s="142" t="n"/>
      <c r="E6" s="142" t="n"/>
      <c r="F6" s="142" t="n"/>
      <c r="G6" s="142" t="n"/>
      <c r="H6" s="142" t="n"/>
      <c r="I6" s="142" t="n"/>
      <c r="J6" s="142" t="n"/>
      <c r="K6" s="142" t="n"/>
      <c r="L6" s="142" t="n"/>
    </row>
    <row r="7" ht="30" customHeight="1" s="65">
      <c r="A7" s="140" t="inlineStr">
        <is>
          <t>Teacher</t>
        </is>
      </c>
      <c r="B7" s="141" t="inlineStr">
        <is>
          <t>Mean of the calibrated probabilities of the trained CNN (M08) and RAD-DINO (M09) = the 'Average of both' system of sheet 4. Run once over the 73,916 training images (no augmentation).</t>
        </is>
      </c>
      <c r="C7" s="142" t="n"/>
      <c r="D7" s="142" t="n"/>
      <c r="E7" s="142" t="n"/>
      <c r="F7" s="142" t="n"/>
      <c r="G7" s="142" t="n"/>
      <c r="H7" s="142" t="n"/>
      <c r="I7" s="142" t="n"/>
      <c r="J7" s="142" t="n"/>
      <c r="K7" s="142" t="n"/>
      <c r="L7" s="142" t="n"/>
    </row>
    <row r="8" ht="30" customHeight="1" s="65">
      <c r="A8" s="140" t="inlineStr">
        <is>
          <t>Student (M10)</t>
        </is>
      </c>
      <c r="B8" s="141" t="inlineStr">
        <is>
          <t>ConvNeXt-Tiny, 384 px, trained from ImageNet weights with exactly the M08 recipe (sheet 2). Only the training target changes.</t>
        </is>
      </c>
      <c r="C8" s="142" t="n"/>
      <c r="D8" s="142" t="n"/>
      <c r="E8" s="142" t="n"/>
      <c r="F8" s="142" t="n"/>
      <c r="G8" s="142" t="n"/>
      <c r="H8" s="142" t="n"/>
      <c r="I8" s="142" t="n"/>
      <c r="J8" s="142" t="n"/>
      <c r="K8" s="142" t="n"/>
      <c r="L8" s="142" t="n"/>
    </row>
    <row r="9" ht="30" customHeight="1" s="65">
      <c r="A9" s="140" t="inlineStr">
        <is>
          <t>Training target</t>
        </is>
      </c>
      <c r="B9" s="141" t="inlineStr">
        <is>
          <t>0.5 × real label + 0.5 × teacher probability, with the same ASL loss. Early stopping on validation macro AUROC against the real labels.</t>
        </is>
      </c>
      <c r="C9" s="142" t="n"/>
      <c r="D9" s="142" t="n"/>
      <c r="E9" s="142" t="n"/>
      <c r="F9" s="142" t="n"/>
      <c r="G9" s="142" t="n"/>
      <c r="H9" s="142" t="n"/>
      <c r="I9" s="142" t="n"/>
      <c r="J9" s="142" t="n"/>
      <c r="K9" s="142" t="n"/>
      <c r="L9" s="142" t="n"/>
    </row>
    <row r="10" ht="30" customHeight="1" s="65">
      <c r="A10" s="140" t="inlineStr">
        <is>
          <t>Go / no-go rule</t>
        </is>
      </c>
      <c r="B10" s="141" t="inlineStr">
        <is>
          <t>Train the student only if the teacher's macro AUROC on the training images is below 0.95; above that, its soft labels would just copy the real labels (section B).</t>
        </is>
      </c>
      <c r="C10" s="142" t="n"/>
      <c r="D10" s="142" t="n"/>
      <c r="E10" s="142" t="n"/>
      <c r="F10" s="142" t="n"/>
      <c r="G10" s="142" t="n"/>
      <c r="H10" s="142" t="n"/>
      <c r="I10" s="142" t="n"/>
      <c r="J10" s="142" t="n"/>
      <c r="K10" s="142" t="n"/>
      <c r="L10" s="142" t="n"/>
    </row>
    <row r="11" ht="30" customHeight="1" s="65">
      <c r="A11" s="140" t="inlineStr">
        <is>
          <t>Outcome rules</t>
        </is>
      </c>
      <c r="B11" s="141" t="inlineStr">
        <is>
          <t>Helps = significantly better than the CNN. Matches = lower 95% CI bound of (Distilled − RAD-DINO) macro AUROC above −0.005. Beats = significantly better than RAD-DINO. Primary metric: test macro AUROC (section F).</t>
        </is>
      </c>
      <c r="C11" s="142" t="n"/>
      <c r="D11" s="142" t="n"/>
      <c r="E11" s="142" t="n"/>
      <c r="F11" s="142" t="n"/>
      <c r="G11" s="142" t="n"/>
      <c r="H11" s="142" t="n"/>
      <c r="I11" s="142" t="n"/>
      <c r="J11" s="142" t="n"/>
      <c r="K11" s="142" t="n"/>
      <c r="L11" s="142" t="n"/>
    </row>
    <row r="12" ht="30" customHeight="1" s="65">
      <c r="A12" s="140" t="inlineStr">
        <is>
          <t>Test-time cost</t>
        </is>
      </c>
      <c r="B12" s="141" t="inlineStr">
        <is>
          <t>Same network as the CNN: 4.0 ms per image at batch 32 = 0.18× RAD-DINO. RAD-DINO is not run at test time.</t>
        </is>
      </c>
      <c r="C12" s="142" t="n"/>
      <c r="D12" s="142" t="n"/>
      <c r="E12" s="142" t="n"/>
      <c r="F12" s="142" t="n"/>
      <c r="G12" s="142" t="n"/>
      <c r="H12" s="142" t="n"/>
      <c r="I12" s="142" t="n"/>
      <c r="J12" s="142" t="n"/>
      <c r="K12" s="142" t="n"/>
      <c r="L12" s="142" t="n"/>
    </row>
    <row r="13" ht="30" customHeight="1" s="65">
      <c r="A13" s="140" t="inlineStr">
        <is>
          <t>Seed / TTA / checks</t>
        </is>
      </c>
      <c r="B13" s="141" t="inlineStr">
        <is>
          <t>One training seed (42); no test-time augmentation. Blocking checks QC-D1 to QC-D4 all passed: checkpoint hashes; both rebuilt teachers reproduce their saved validation logits exactly (correlation 1.00000); soft labels on training images only; identical test images.</t>
        </is>
      </c>
      <c r="C13" s="142" t="n"/>
      <c r="D13" s="142" t="n"/>
      <c r="E13" s="142" t="n"/>
      <c r="F13" s="142" t="n"/>
      <c r="G13" s="142" t="n"/>
      <c r="H13" s="142" t="n"/>
      <c r="I13" s="142" t="n"/>
      <c r="J13" s="142" t="n"/>
      <c r="K13" s="142" t="n"/>
      <c r="L13" s="142" t="n"/>
    </row>
    <row r="15">
      <c r="A15" s="137" t="inlineStr">
        <is>
          <t>B. Go / no-go: is the teacher still informative on its own training images?</t>
        </is>
      </c>
      <c r="B15" s="138" t="n"/>
      <c r="C15" s="138" t="n"/>
      <c r="D15" s="138" t="n"/>
      <c r="E15" s="138" t="n"/>
      <c r="F15" s="138" t="n"/>
      <c r="G15" s="138" t="n"/>
      <c r="H15" s="138" t="n"/>
      <c r="I15" s="138" t="n"/>
      <c r="J15" s="138" t="n"/>
      <c r="K15" s="138" t="n"/>
      <c r="L15" s="138" t="n"/>
    </row>
    <row r="16" ht="30" customHeight="1" s="65">
      <c r="A16" s="139" t="inlineStr">
        <is>
          <t>Model</t>
        </is>
      </c>
      <c r="B16" s="139" t="inlineStr">
        <is>
          <t>Macro AUROC, train</t>
        </is>
      </c>
      <c r="C16" s="139" t="inlineStr">
        <is>
          <t>Macro AUROC, validation</t>
        </is>
      </c>
      <c r="D16" s="139" t="inlineStr">
        <is>
          <t>Train − validation</t>
        </is>
      </c>
    </row>
    <row r="17">
      <c r="A17" s="143" t="inlineStr">
        <is>
          <t>CNN (M08)</t>
        </is>
      </c>
      <c r="B17" s="144" t="n">
        <v>0.9017546583327404</v>
      </c>
      <c r="C17" s="144" t="n">
        <v>0.859775255039285</v>
      </c>
      <c r="D17" s="145">
        <f>B17-C17</f>
        <v>0.0419794032934554</v>
      </c>
    </row>
    <row r="18">
      <c r="A18" s="143" t="inlineStr">
        <is>
          <t>RAD-DINO (M09)</t>
        </is>
      </c>
      <c r="B18" s="144" t="n">
        <v>0.9124113655048844</v>
      </c>
      <c r="C18" s="144" t="n">
        <v>0.865113145281588</v>
      </c>
      <c r="D18" s="145">
        <f>B18-C18</f>
        <v>0.0472982202232964</v>
      </c>
    </row>
    <row r="19">
      <c r="A19" s="140" t="inlineStr">
        <is>
          <t>Teacher = average of both</t>
        </is>
      </c>
      <c r="B19" s="144" t="n">
        <v>0.9164584877049757</v>
      </c>
      <c r="C19" s="144" t="n">
        <v>0.8735099651026832</v>
      </c>
      <c r="D19" s="145">
        <f>B19-C19</f>
        <v>0.0429485226022925</v>
      </c>
    </row>
    <row r="20">
      <c r="A20" s="143" t="inlineStr">
        <is>
          <t>Go threshold (train AUROC must be below)</t>
        </is>
      </c>
      <c r="B20" s="146" t="n">
        <v>0.95</v>
      </c>
    </row>
    <row r="21">
      <c r="A21" s="140" t="inlineStr">
        <is>
          <t>Decision</t>
        </is>
      </c>
      <c r="B21" s="147" t="str">
        <f>IF(B19&lt;B20,"GO","STOP")</f>
        <v>GO</v>
      </c>
    </row>
    <row r="22" ht="24" customHeight="1" s="65">
      <c r="A22" s="136" t="inlineStr">
        <is>
          <t>The teacher gives true positives an average probability of 0.28 and negatives 0.03 on training images: its soft labels are far from 0/1, so they carry information beyond the real labels. Blue = rule value from the protocol.</t>
        </is>
      </c>
    </row>
    <row r="24">
      <c r="A24" s="137" t="inlineStr">
        <is>
          <t>C. Training: validation curve of the CNN (M08) and the distilled CNN (M10)</t>
        </is>
      </c>
      <c r="B24" s="138" t="n"/>
      <c r="C24" s="138" t="n"/>
      <c r="D24" s="138" t="n"/>
      <c r="E24" s="138" t="n"/>
      <c r="F24" s="138" t="n"/>
      <c r="G24" s="138" t="n"/>
      <c r="H24" s="138" t="n"/>
      <c r="I24" s="138" t="n"/>
      <c r="J24" s="138" t="n"/>
      <c r="K24" s="138" t="n"/>
      <c r="L24" s="138" t="n"/>
    </row>
    <row r="25" ht="30" customHeight="1" s="65">
      <c r="A25" s="139" t="inlineStr">
        <is>
          <t>Epoch</t>
        </is>
      </c>
      <c r="B25" s="139" t="inlineStr">
        <is>
          <t>Phase</t>
        </is>
      </c>
      <c r="C25" s="139" t="inlineStr">
        <is>
          <t>Val macro AUROC, CNN</t>
        </is>
      </c>
      <c r="D25" s="139" t="inlineStr">
        <is>
          <t>Val macro AUROC, distilled</t>
        </is>
      </c>
      <c r="E25" s="139" t="inlineStr">
        <is>
          <t>Difference</t>
        </is>
      </c>
      <c r="F25" s="139" t="inlineStr">
        <is>
          <t>Val loss, CNN</t>
        </is>
      </c>
      <c r="G25" s="139" t="inlineStr">
        <is>
          <t>Val loss, distilled</t>
        </is>
      </c>
    </row>
    <row r="26">
      <c r="A26" s="148" t="n">
        <v>1</v>
      </c>
      <c r="B26" s="148" t="inlineStr">
        <is>
          <t>warmup</t>
        </is>
      </c>
      <c r="C26" s="144" t="n">
        <v>0.739301477024871</v>
      </c>
      <c r="D26" s="144" t="n">
        <v>0.751051462151003</v>
      </c>
      <c r="E26" s="145">
        <f>D26-C26</f>
        <v>0.011749985126132</v>
      </c>
      <c r="F26" s="144" t="n">
        <v>0.354785293340683</v>
      </c>
      <c r="G26" s="144" t="n">
        <v>0.3512631356716156</v>
      </c>
    </row>
    <row r="27">
      <c r="A27" s="148" t="n">
        <v>2</v>
      </c>
      <c r="B27" s="148" t="inlineStr">
        <is>
          <t>finetune</t>
        </is>
      </c>
      <c r="C27" s="144" t="n">
        <v>0.8186604741605251</v>
      </c>
      <c r="D27" s="144" t="n">
        <v>0.8425904477115529</v>
      </c>
      <c r="E27" s="145">
        <f>D27-C27</f>
        <v>0.0239299735510278</v>
      </c>
      <c r="F27" s="144" t="n">
        <v>0.3273422718048095</v>
      </c>
      <c r="G27" s="144" t="n">
        <v>0.3129958808422088</v>
      </c>
    </row>
    <row r="28">
      <c r="A28" s="148" t="n">
        <v>3</v>
      </c>
      <c r="B28" s="148" t="inlineStr">
        <is>
          <t>finetune</t>
        </is>
      </c>
      <c r="C28" s="144" t="n">
        <v>0.8405331245535089</v>
      </c>
      <c r="D28" s="144" t="n">
        <v>0.8569639757346473</v>
      </c>
      <c r="E28" s="145">
        <f>D28-C28</f>
        <v>0.0164308511811384</v>
      </c>
      <c r="F28" s="144" t="n">
        <v>0.3130320906639099</v>
      </c>
      <c r="G28" s="144" t="n">
        <v>0.3034955561161041</v>
      </c>
    </row>
    <row r="29">
      <c r="A29" s="148" t="n">
        <v>4</v>
      </c>
      <c r="B29" s="148" t="inlineStr">
        <is>
          <t>finetune</t>
        </is>
      </c>
      <c r="C29" s="144" t="n">
        <v>0.8520438187976997</v>
      </c>
      <c r="D29" s="144" t="n">
        <v>0.8622247934092072</v>
      </c>
      <c r="E29" s="145">
        <f>D29-C29</f>
        <v>0.0101809746115075</v>
      </c>
      <c r="F29" s="144" t="n">
        <v>0.3084875643253326</v>
      </c>
      <c r="G29" s="144" t="n">
        <v>0.3019718527793884</v>
      </c>
    </row>
    <row r="30">
      <c r="A30" s="148" t="n">
        <v>5</v>
      </c>
      <c r="B30" s="148" t="inlineStr">
        <is>
          <t>finetune</t>
        </is>
      </c>
      <c r="C30" s="144" t="n">
        <v>0.856023716119222</v>
      </c>
      <c r="D30" s="144" t="n">
        <v>0.8629188374285218</v>
      </c>
      <c r="E30" s="145">
        <f>D30-C30</f>
        <v>0.00689512130929981</v>
      </c>
      <c r="F30" s="144" t="n">
        <v>0.3085280954837799</v>
      </c>
      <c r="G30" s="144" t="n">
        <v>0.3009282946586609</v>
      </c>
    </row>
    <row r="31">
      <c r="A31" s="148" t="n">
        <v>6</v>
      </c>
      <c r="B31" s="148" t="inlineStr">
        <is>
          <t>finetune</t>
        </is>
      </c>
      <c r="C31" s="144" t="n">
        <v>0.859775255039285</v>
      </c>
      <c r="D31" s="144" t="n">
        <v>0.8639871162885802</v>
      </c>
      <c r="E31" s="145">
        <f>D31-C31</f>
        <v>0.00421186124929518</v>
      </c>
      <c r="F31" s="144" t="n">
        <v>0.3054070770740509</v>
      </c>
      <c r="G31" s="144" t="n">
        <v>0.3002226650714874</v>
      </c>
    </row>
    <row r="32">
      <c r="A32" s="148" t="n">
        <v>7</v>
      </c>
      <c r="B32" s="148" t="inlineStr">
        <is>
          <t>finetune</t>
        </is>
      </c>
      <c r="C32" s="144" t="n">
        <v>0.8582248182833592</v>
      </c>
      <c r="D32" s="144" t="n">
        <v>0.8636620123260468</v>
      </c>
      <c r="E32" s="145">
        <f>D32-C32</f>
        <v>0.00543719404268761</v>
      </c>
      <c r="F32" s="144" t="n">
        <v>0.3126247227191925</v>
      </c>
      <c r="G32" s="144" t="n">
        <v>0.3001772165298462</v>
      </c>
    </row>
    <row r="33">
      <c r="A33" s="148" t="n">
        <v>8</v>
      </c>
      <c r="B33" s="148" t="inlineStr">
        <is>
          <t>finetune</t>
        </is>
      </c>
      <c r="C33" s="144" t="n">
        <v>0.8575029298618949</v>
      </c>
      <c r="D33" s="144" t="n">
        <v>0.8631475242269661</v>
      </c>
      <c r="E33" s="145">
        <f>D33-C33</f>
        <v>0.00564459436507114</v>
      </c>
      <c r="F33" s="144" t="n">
        <v>0.3160390257835388</v>
      </c>
      <c r="G33" s="144" t="n">
        <v>0.3006100654602051</v>
      </c>
    </row>
    <row r="34">
      <c r="A34" s="147" t="inlineStr">
        <is>
          <t>Best</t>
        </is>
      </c>
      <c r="B34" s="148" t="inlineStr"/>
      <c r="C34" s="149">
        <f>MAX(C26:C33)</f>
        <v>0.859775255039285</v>
      </c>
      <c r="D34" s="149">
        <f>MAX(D26:D33)</f>
        <v>0.86398711628858</v>
      </c>
      <c r="E34" s="150">
        <f>D34-C34</f>
        <v>0.00421186124929518</v>
      </c>
      <c r="F34" s="148" t="inlineStr"/>
      <c r="G34" s="148" t="inlineStr"/>
    </row>
    <row r="35">
      <c r="A35" s="147" t="inlineStr">
        <is>
          <t>Best epoch</t>
        </is>
      </c>
      <c r="B35" s="148" t="inlineStr"/>
      <c r="C35" s="148">
        <f>INDEX(A26:A33,MATCH(C34,C26:C33,0))</f>
        <v>6</v>
      </c>
      <c r="D35" s="148">
        <f>INDEX(A26:A33,MATCH(D34,D26:D33,0))</f>
        <v>6</v>
      </c>
      <c r="E35" s="148" t="inlineStr"/>
      <c r="F35" s="148" t="inlineStr"/>
      <c r="G35" s="148" t="inlineStr"/>
    </row>
    <row r="36" ht="36" customHeight="1" s="65">
      <c r="A36" s="136" t="inlineStr">
        <is>
          <t>The CNN's validation loss rises after its best epoch (0.305 → 0.316); the distilled CNN's stays flat (0.300 → 0.301), a sign that soft labels reduce over-fitting to the noisy labels. Training took 2.56 h on a Tesla T4 (teacher soft-label pass: 50 min). Validation picked the epoch, so validation numbers are slightly optimistic; section D is the real test.</t>
        </is>
      </c>
    </row>
    <row r="38">
      <c r="A38" s="137" t="inlineStr">
        <is>
          <t>D. Main results (test set, 25,596 images)</t>
        </is>
      </c>
      <c r="B38" s="138" t="n"/>
      <c r="C38" s="138" t="n"/>
      <c r="D38" s="138" t="n"/>
      <c r="E38" s="138" t="n"/>
      <c r="F38" s="138" t="n"/>
      <c r="G38" s="138" t="n"/>
      <c r="H38" s="138" t="n"/>
      <c r="I38" s="138" t="n"/>
      <c r="J38" s="138" t="n"/>
      <c r="K38" s="138" t="n"/>
      <c r="L38" s="138" t="n"/>
    </row>
    <row r="39" ht="30" customHeight="1" s="65">
      <c r="A39" s="139" t="inlineStr">
        <is>
          <t>System</t>
        </is>
      </c>
      <c r="B39" s="139" t="inlineStr">
        <is>
          <t>Macro AUROC</t>
        </is>
      </c>
      <c r="C39" s="139" t="inlineStr">
        <is>
          <t>95% CI</t>
        </is>
      </c>
      <c r="D39" s="139" t="inlineStr">
        <is>
          <t>Macro AUPRC</t>
        </is>
      </c>
      <c r="E39" s="139" t="inlineStr">
        <is>
          <t>95% CI</t>
        </is>
      </c>
      <c r="F39" s="139" t="inlineStr">
        <is>
          <t>Macro F1</t>
        </is>
      </c>
      <c r="G39" s="139" t="inlineStr">
        <is>
          <t>95% CI</t>
        </is>
      </c>
      <c r="H39" s="139" t="inlineStr">
        <is>
          <t>Micro F1</t>
        </is>
      </c>
      <c r="I39" s="139" t="inlineStr">
        <is>
          <t>95% CI</t>
        </is>
      </c>
      <c r="J39" s="139" t="inlineStr">
        <is>
          <t>Macro precision</t>
        </is>
      </c>
      <c r="K39" s="139" t="inlineStr">
        <is>
          <t>Macro recall</t>
        </is>
      </c>
      <c r="L39" s="139" t="inlineStr">
        <is>
          <t>Macro specificity</t>
        </is>
      </c>
      <c r="M39" s="139" t="inlineStr">
        <is>
          <t>Compute vs RAD-DINO (batch 32)</t>
        </is>
      </c>
    </row>
    <row r="40">
      <c r="A40" s="143" t="inlineStr">
        <is>
          <t>CNN alone (ConvNeXt-Tiny)</t>
        </is>
      </c>
      <c r="B40" s="151">
        <f>'4. Official Split Results'!B6</f>
        <v>0.826303894194635</v>
      </c>
      <c r="C40" s="152" t="str">
        <f>'4. Official Split Results'!C6</f>
        <v>0.820–0.832</v>
      </c>
      <c r="D40" s="151">
        <f>'4. Official Split Results'!D6</f>
        <v>0.298846753078612</v>
      </c>
      <c r="E40" s="152" t="str">
        <f>'4. Official Split Results'!E6</f>
        <v>0.285–0.315</v>
      </c>
      <c r="F40" s="151">
        <f>'4. Official Split Results'!F6</f>
        <v>0.353910159186117</v>
      </c>
      <c r="G40" s="152" t="str">
        <f>'4. Official Split Results'!G6</f>
        <v>0.334–0.369</v>
      </c>
      <c r="H40" s="151">
        <f>'4. Official Split Results'!H6</f>
        <v>0.417170004344353</v>
      </c>
      <c r="I40" s="152" t="str">
        <f>'4. Official Split Results'!I6</f>
        <v>0.409–0.425</v>
      </c>
      <c r="J40" s="151">
        <f>'4. Official Split Results'!J6</f>
        <v>0.318840957530018</v>
      </c>
      <c r="K40" s="151">
        <f>'4. Official Split Results'!K6</f>
        <v>0.430420317736759</v>
      </c>
      <c r="L40" s="151">
        <f>'4. Official Split Results'!L6</f>
        <v>0.903960653489702</v>
      </c>
      <c r="M40" s="153">
        <f>'5. Two-Stage Cascade'!D48</f>
        <v>0.175475682382766</v>
      </c>
    </row>
    <row r="41">
      <c r="A41" s="143" t="inlineStr">
        <is>
          <t>RAD-DINO alone</t>
        </is>
      </c>
      <c r="B41" s="151">
        <f>'4. Official Split Results'!B7</f>
        <v>0.836386109952279</v>
      </c>
      <c r="C41" s="152" t="str">
        <f>'4. Official Split Results'!C7</f>
        <v>0.830–0.842</v>
      </c>
      <c r="D41" s="151">
        <f>'4. Official Split Results'!D7</f>
        <v>0.322322274143313</v>
      </c>
      <c r="E41" s="152" t="str">
        <f>'4. Official Split Results'!E7</f>
        <v>0.310–0.337</v>
      </c>
      <c r="F41" s="151">
        <f>'4. Official Split Results'!F7</f>
        <v>0.378779775215721</v>
      </c>
      <c r="G41" s="152" t="str">
        <f>'4. Official Split Results'!G7</f>
        <v>0.365–0.390</v>
      </c>
      <c r="H41" s="151">
        <f>'4. Official Split Results'!H7</f>
        <v>0.431707049063238</v>
      </c>
      <c r="I41" s="152" t="str">
        <f>'4. Official Split Results'!I7</f>
        <v>0.424–0.439</v>
      </c>
      <c r="J41" s="151">
        <f>'4. Official Split Results'!J7</f>
        <v>0.336186775690901</v>
      </c>
      <c r="K41" s="151">
        <f>'4. Official Split Results'!K7</f>
        <v>0.461560276812893</v>
      </c>
      <c r="L41" s="151">
        <f>'4. Official Split Results'!L7</f>
        <v>0.902172768730104</v>
      </c>
      <c r="M41" s="153">
        <f>'5. Two-Stage Cascade'!D49</f>
        <v>1</v>
      </c>
    </row>
    <row r="42">
      <c r="A42" s="143" t="inlineStr">
        <is>
          <t>Average of both (every image)</t>
        </is>
      </c>
      <c r="B42" s="154">
        <f>'4. Official Split Results'!B8</f>
        <v>0.842777708802811</v>
      </c>
      <c r="C42" s="152" t="str">
        <f>'4. Official Split Results'!C8</f>
        <v>0.837–0.848</v>
      </c>
      <c r="D42" s="154">
        <f>'4. Official Split Results'!D8</f>
        <v>0.329184722201499</v>
      </c>
      <c r="E42" s="152" t="str">
        <f>'4. Official Split Results'!E8</f>
        <v>0.316–0.343</v>
      </c>
      <c r="F42" s="154">
        <f>'4. Official Split Results'!F8</f>
        <v>0.381789772742632</v>
      </c>
      <c r="G42" s="152" t="str">
        <f>'4. Official Split Results'!G8</f>
        <v>0.367–0.393</v>
      </c>
      <c r="H42" s="154">
        <f>'4. Official Split Results'!H8</f>
        <v>0.442112457461805</v>
      </c>
      <c r="I42" s="152" t="str">
        <f>'4. Official Split Results'!I8</f>
        <v>0.434–0.449</v>
      </c>
      <c r="J42" s="154">
        <f>'4. Official Split Results'!J8</f>
        <v>0.341148711015149</v>
      </c>
      <c r="K42" s="151">
        <f>'4. Official Split Results'!K8</f>
        <v>0.456106884808289</v>
      </c>
      <c r="L42" s="154">
        <f>'4. Official Split Results'!L8</f>
        <v>0.909194307386236</v>
      </c>
      <c r="M42" s="153">
        <f>'5. Two-Stage Cascade'!D50</f>
        <v>1.17547568238277</v>
      </c>
    </row>
    <row r="43">
      <c r="A43" s="143" t="inlineStr">
        <is>
          <t>Cascade t = 0.80 (sheet 5)</t>
        </is>
      </c>
      <c r="B43" s="151">
        <f>'4. Official Split Results'!B9</f>
        <v>0.832475142784691</v>
      </c>
      <c r="C43" s="152" t="str">
        <f>'4. Official Split Results'!C9</f>
        <v>0.826–0.838</v>
      </c>
      <c r="D43" s="151">
        <f>'4. Official Split Results'!D9</f>
        <v>0.31761424342498</v>
      </c>
      <c r="E43" s="152" t="str">
        <f>'4. Official Split Results'!E9</f>
        <v>0.305–0.332</v>
      </c>
      <c r="F43" s="151">
        <f>'4. Official Split Results'!F9</f>
        <v>0.370882366098188</v>
      </c>
      <c r="G43" s="152" t="str">
        <f>'4. Official Split Results'!G9</f>
        <v>0.356–0.382</v>
      </c>
      <c r="H43" s="151">
        <f>'4. Official Split Results'!H9</f>
        <v>0.4273452125078</v>
      </c>
      <c r="I43" s="152" t="str">
        <f>'4. Official Split Results'!I9</f>
        <v>0.419–0.435</v>
      </c>
      <c r="J43" s="151">
        <f>'4. Official Split Results'!J9</f>
        <v>0.340104851620221</v>
      </c>
      <c r="K43" s="151">
        <f>'4. Official Split Results'!K9</f>
        <v>0.445413867527925</v>
      </c>
      <c r="L43" s="151">
        <f>'4. Official Split Results'!L9</f>
        <v>0.903616311357784</v>
      </c>
      <c r="M43" s="153">
        <f>'5. Two-Stage Cascade'!D52</f>
        <v>0.951143755519194</v>
      </c>
    </row>
    <row r="44">
      <c r="A44" s="155" t="inlineStr">
        <is>
          <t>Distilled CNN (M10)</t>
        </is>
      </c>
      <c r="B44" s="156" t="n">
        <v>0.8338604256190068</v>
      </c>
      <c r="C44" s="157" t="inlineStr">
        <is>
          <t>0.828–0.839</t>
        </is>
      </c>
      <c r="D44" s="156" t="n">
        <v>0.3146131121424833</v>
      </c>
      <c r="E44" s="157" t="inlineStr">
        <is>
          <t>0.301–0.330</t>
        </is>
      </c>
      <c r="F44" s="156" t="n">
        <v>0.3701852302046894</v>
      </c>
      <c r="G44" s="157" t="inlineStr">
        <is>
          <t>0.352–0.384</t>
        </is>
      </c>
      <c r="H44" s="156" t="n">
        <v>0.4191555097837281</v>
      </c>
      <c r="I44" s="157" t="inlineStr">
        <is>
          <t>0.411–0.427</t>
        </is>
      </c>
      <c r="J44" s="156" t="n">
        <v>0.3325831395372796</v>
      </c>
      <c r="K44" s="158" t="n">
        <v>0.4621809494939272</v>
      </c>
      <c r="L44" s="156" t="n">
        <v>0.8992628605556781</v>
      </c>
      <c r="M44" s="159">
        <f>'5. Two-Stage Cascade'!D48</f>
        <v>0.175475682382766</v>
      </c>
    </row>
    <row r="45" ht="30" customHeight="1" s="65">
      <c r="A45" s="136" t="inlineStr">
        <is>
          <t>Green = best in the column (cascade row excluded: not part of the distillation comparison). Highlighted row = the distilled CNN. Green text = linked from sheet 4 (results) and sheet 5 (compute); the numbers recomputed in this study are identical. Macro ECE: CNN 0.0117, RAD-DINO 0.0106, average 0.0103, distilled 0.0114.</t>
        </is>
      </c>
    </row>
    <row r="47">
      <c r="A47" s="137" t="inlineStr">
        <is>
          <t>E. Is the difference real? Distilled CNN vs each reference (paired patient-level bootstrap, Holm over the 3 comparisons)</t>
        </is>
      </c>
      <c r="B47" s="138" t="n"/>
      <c r="C47" s="138" t="n"/>
      <c r="D47" s="138" t="n"/>
      <c r="E47" s="138" t="n"/>
      <c r="F47" s="138" t="n"/>
      <c r="G47" s="138" t="n"/>
      <c r="H47" s="138" t="n"/>
      <c r="I47" s="138" t="n"/>
      <c r="J47" s="138" t="n"/>
      <c r="K47" s="138" t="n"/>
      <c r="L47" s="138" t="n"/>
    </row>
    <row r="48" ht="30" customHeight="1" s="65">
      <c r="A48" s="139" t="inlineStr">
        <is>
          <t>Comparison (A − B)</t>
        </is>
      </c>
      <c r="B48" s="139" t="inlineStr">
        <is>
          <t>Metric</t>
        </is>
      </c>
      <c r="C48" s="139" t="inlineStr">
        <is>
          <t>Difference</t>
        </is>
      </c>
      <c r="D48" s="139" t="inlineStr">
        <is>
          <t>95% CI</t>
        </is>
      </c>
      <c r="E48" s="139" t="inlineStr">
        <is>
          <t>Relative %</t>
        </is>
      </c>
      <c r="F48" s="139" t="inlineStr">
        <is>
          <t>Holm p</t>
        </is>
      </c>
      <c r="G48" s="139" t="inlineStr">
        <is>
          <t>Significant?</t>
        </is>
      </c>
    </row>
    <row r="49">
      <c r="A49" s="143" t="inlineStr">
        <is>
          <t>Distilled − CNN alone</t>
        </is>
      </c>
      <c r="B49" s="143" t="inlineStr">
        <is>
          <t>Macro AUROC</t>
        </is>
      </c>
      <c r="C49" s="145" t="n">
        <v>0.0075565314243715</v>
      </c>
      <c r="D49" s="143" t="inlineStr">
        <is>
          <t>+0.0058 to +0.0096</t>
        </is>
      </c>
      <c r="E49" s="160" t="n">
        <v>0.009144978593785472</v>
      </c>
      <c r="F49" s="161" t="n">
        <v>0.0029970029970029</v>
      </c>
      <c r="G49" s="147" t="inlineStr">
        <is>
          <t>Yes</t>
        </is>
      </c>
    </row>
    <row r="50">
      <c r="A50" s="143" t="inlineStr">
        <is>
          <t>Distilled − RAD-DINO alone</t>
        </is>
      </c>
      <c r="B50" s="143" t="inlineStr">
        <is>
          <t>Macro AUROC</t>
        </is>
      </c>
      <c r="C50" s="145" t="n">
        <v>-0.0025256843332717</v>
      </c>
      <c r="D50" s="143" t="inlineStr">
        <is>
          <t>-0.0056 to +0.0004</t>
        </is>
      </c>
      <c r="E50" s="160" t="n">
        <v>-0.003019758820977817</v>
      </c>
      <c r="F50" s="161" t="n">
        <v>0.078</v>
      </c>
      <c r="G50" s="148" t="inlineStr">
        <is>
          <t>No</t>
        </is>
      </c>
    </row>
    <row r="51">
      <c r="A51" s="143" t="inlineStr">
        <is>
          <t>Distilled − Average of both</t>
        </is>
      </c>
      <c r="B51" s="143" t="inlineStr">
        <is>
          <t>Macro AUROC</t>
        </is>
      </c>
      <c r="C51" s="145" t="n">
        <v>-0.0089172831838044</v>
      </c>
      <c r="D51" s="143" t="inlineStr">
        <is>
          <t>-0.0112 to -0.0071</t>
        </is>
      </c>
      <c r="E51" s="160" t="n">
        <v>-0.01058082468326282</v>
      </c>
      <c r="F51" s="161" t="n">
        <v>0.0029970029970029</v>
      </c>
      <c r="G51" s="147" t="inlineStr">
        <is>
          <t>Yes</t>
        </is>
      </c>
    </row>
    <row r="52">
      <c r="A52" s="143" t="inlineStr">
        <is>
          <t>Distilled − CNN alone</t>
        </is>
      </c>
      <c r="B52" s="143" t="inlineStr">
        <is>
          <t>Macro AUPRC</t>
        </is>
      </c>
      <c r="C52" s="145" t="n">
        <v>0.0157663590638715</v>
      </c>
      <c r="D52" s="143" t="inlineStr">
        <is>
          <t>+0.0109 to +0.0212</t>
        </is>
      </c>
      <c r="E52" s="160" t="n">
        <v>0.05275733767040185</v>
      </c>
      <c r="F52" s="161" t="n">
        <v>0.0029970029970029</v>
      </c>
      <c r="G52" s="147" t="inlineStr">
        <is>
          <t>Yes</t>
        </is>
      </c>
    </row>
    <row r="53">
      <c r="A53" s="143" t="inlineStr">
        <is>
          <t>Distilled − RAD-DINO alone</t>
        </is>
      </c>
      <c r="B53" s="143" t="inlineStr">
        <is>
          <t>Macro AUPRC</t>
        </is>
      </c>
      <c r="C53" s="145" t="n">
        <v>-0.0077091620008292</v>
      </c>
      <c r="D53" s="143" t="inlineStr">
        <is>
          <t>-0.0180 to +0.0017</t>
        </is>
      </c>
      <c r="E53" s="160" t="n">
        <v>-0.0239175589751566</v>
      </c>
      <c r="F53" s="161" t="n">
        <v>0.0879999999999999</v>
      </c>
      <c r="G53" s="148" t="inlineStr">
        <is>
          <t>No</t>
        </is>
      </c>
    </row>
    <row r="54">
      <c r="A54" s="143" t="inlineStr">
        <is>
          <t>Distilled − Average of both</t>
        </is>
      </c>
      <c r="B54" s="143" t="inlineStr">
        <is>
          <t>Macro AUPRC</t>
        </is>
      </c>
      <c r="C54" s="145" t="n">
        <v>-0.0145716100590153</v>
      </c>
      <c r="D54" s="143" t="inlineStr">
        <is>
          <t>-0.0223 to -0.0078</t>
        </is>
      </c>
      <c r="E54" s="160" t="n">
        <v>-0.0442657543812008</v>
      </c>
      <c r="F54" s="161" t="n">
        <v>0.0029970029970029</v>
      </c>
      <c r="G54" s="147" t="inlineStr">
        <is>
          <t>Yes</t>
        </is>
      </c>
    </row>
    <row r="55">
      <c r="A55" s="143" t="inlineStr">
        <is>
          <t>Distilled − CNN alone</t>
        </is>
      </c>
      <c r="B55" s="143" t="inlineStr">
        <is>
          <t>Macro F1</t>
        </is>
      </c>
      <c r="C55" s="145" t="n">
        <v>0.0162750710185721</v>
      </c>
      <c r="D55" s="143" t="inlineStr">
        <is>
          <t>+0.0103 to +0.0230</t>
        </is>
      </c>
      <c r="E55" s="160" t="n">
        <v>0.04598644767926343</v>
      </c>
      <c r="F55" s="161" t="n">
        <v>0.0029970029970029</v>
      </c>
      <c r="G55" s="147" t="inlineStr">
        <is>
          <t>Yes</t>
        </is>
      </c>
    </row>
    <row r="56">
      <c r="A56" s="143" t="inlineStr">
        <is>
          <t>Distilled − RAD-DINO alone</t>
        </is>
      </c>
      <c r="B56" s="143" t="inlineStr">
        <is>
          <t>Macro F1</t>
        </is>
      </c>
      <c r="C56" s="145" t="n">
        <v>-0.0085945450110316</v>
      </c>
      <c r="D56" s="143" t="inlineStr">
        <is>
          <t>-0.0204 to +0.0036</t>
        </is>
      </c>
      <c r="E56" s="160" t="n">
        <v>-0.02269008424786381</v>
      </c>
      <c r="F56" s="161" t="n">
        <v>0.192</v>
      </c>
      <c r="G56" s="148" t="inlineStr">
        <is>
          <t>No</t>
        </is>
      </c>
    </row>
    <row r="57">
      <c r="A57" s="143" t="inlineStr">
        <is>
          <t>Distilled − Average of both</t>
        </is>
      </c>
      <c r="B57" s="143" t="inlineStr">
        <is>
          <t>Macro F1</t>
        </is>
      </c>
      <c r="C57" s="145" t="n">
        <v>-0.0116045425379422</v>
      </c>
      <c r="D57" s="143" t="inlineStr">
        <is>
          <t>-0.0218 to -0.0026</t>
        </is>
      </c>
      <c r="E57" s="160" t="n">
        <v>-0.03039511104391221</v>
      </c>
      <c r="F57" s="161" t="n">
        <v>0.004</v>
      </c>
      <c r="G57" s="147" t="inlineStr">
        <is>
          <t>Yes</t>
        </is>
      </c>
    </row>
    <row r="58">
      <c r="A58" s="143" t="inlineStr">
        <is>
          <t>Distilled − CNN alone</t>
        </is>
      </c>
      <c r="B58" s="143" t="inlineStr">
        <is>
          <t>Micro F1</t>
        </is>
      </c>
      <c r="C58" s="145" t="n">
        <v>0.001985505439375</v>
      </c>
      <c r="D58" s="143" t="inlineStr">
        <is>
          <t>-0.0012 to +0.0052</t>
        </is>
      </c>
      <c r="E58" s="160" t="n">
        <v>0.004759463572879882</v>
      </c>
      <c r="F58" s="161" t="n">
        <v>0.228</v>
      </c>
      <c r="G58" s="148" t="inlineStr">
        <is>
          <t>No</t>
        </is>
      </c>
    </row>
    <row r="59">
      <c r="A59" s="143" t="inlineStr">
        <is>
          <t>Distilled − RAD-DINO alone</t>
        </is>
      </c>
      <c r="B59" s="143" t="inlineStr">
        <is>
          <t>Micro F1</t>
        </is>
      </c>
      <c r="C59" s="145" t="n">
        <v>-0.0125515392795101</v>
      </c>
      <c r="D59" s="143" t="inlineStr">
        <is>
          <t>-0.0169 to -0.0082</t>
        </is>
      </c>
      <c r="E59" s="160" t="n">
        <v>-0.02907420508130627</v>
      </c>
      <c r="F59" s="161" t="n">
        <v>0.0029970029970029</v>
      </c>
      <c r="G59" s="147" t="inlineStr">
        <is>
          <t>Yes</t>
        </is>
      </c>
    </row>
    <row r="60">
      <c r="A60" s="143" t="inlineStr">
        <is>
          <t>Distilled − Average of both</t>
        </is>
      </c>
      <c r="B60" s="143" t="inlineStr">
        <is>
          <t>Micro F1</t>
        </is>
      </c>
      <c r="C60" s="145" t="n">
        <v>-0.0229569476780764</v>
      </c>
      <c r="D60" s="143" t="inlineStr">
        <is>
          <t>-0.0261 to -0.0195</t>
        </is>
      </c>
      <c r="E60" s="160" t="n">
        <v>-0.05192558429561964</v>
      </c>
      <c r="F60" s="161" t="n">
        <v>0.0029970029970029</v>
      </c>
      <c r="G60" s="147" t="inlineStr">
        <is>
          <t>Yes</t>
        </is>
      </c>
    </row>
    <row r="61">
      <c r="A61" s="143" t="inlineStr">
        <is>
          <t>Distilled − CNN alone</t>
        </is>
      </c>
      <c r="B61" s="143" t="inlineStr">
        <is>
          <t>Macro precision</t>
        </is>
      </c>
      <c r="C61" s="145" t="n">
        <v>0.0137421820072618</v>
      </c>
      <c r="D61" s="143" t="inlineStr">
        <is>
          <t>+0.0050 to +0.0278</t>
        </is>
      </c>
      <c r="E61" s="160" t="n">
        <v>0.04310042885869853</v>
      </c>
      <c r="F61" s="161" t="n">
        <v>0.006</v>
      </c>
      <c r="G61" s="147" t="inlineStr">
        <is>
          <t>Yes</t>
        </is>
      </c>
    </row>
    <row r="62">
      <c r="A62" s="143" t="inlineStr">
        <is>
          <t>Distilled − RAD-DINO alone</t>
        </is>
      </c>
      <c r="B62" s="143" t="inlineStr">
        <is>
          <t>Macro precision</t>
        </is>
      </c>
      <c r="C62" s="145" t="n">
        <v>-0.0036036361536214</v>
      </c>
      <c r="D62" s="143" t="inlineStr">
        <is>
          <t>-0.0189 to +0.0096</t>
        </is>
      </c>
      <c r="E62" s="160" t="n">
        <v>-0.01071914903914808</v>
      </c>
      <c r="F62" s="161" t="n">
        <v>0.626</v>
      </c>
      <c r="G62" s="148" t="inlineStr">
        <is>
          <t>No</t>
        </is>
      </c>
    </row>
    <row r="63">
      <c r="A63" s="143" t="inlineStr">
        <is>
          <t>Distilled − Average of both</t>
        </is>
      </c>
      <c r="B63" s="143" t="inlineStr">
        <is>
          <t>Macro precision</t>
        </is>
      </c>
      <c r="C63" s="145" t="n">
        <v>-0.0085655714778689</v>
      </c>
      <c r="D63" s="143" t="inlineStr">
        <is>
          <t>-0.0202 to +0.0002</t>
        </is>
      </c>
      <c r="E63" s="160" t="n">
        <v>-0.02510802826245635</v>
      </c>
      <c r="F63" s="161" t="n">
        <v>0.112</v>
      </c>
      <c r="G63" s="148" t="inlineStr">
        <is>
          <t>No</t>
        </is>
      </c>
    </row>
    <row r="64">
      <c r="A64" s="143" t="inlineStr">
        <is>
          <t>Distilled − CNN alone</t>
        </is>
      </c>
      <c r="B64" s="143" t="inlineStr">
        <is>
          <t>Macro recall</t>
        </is>
      </c>
      <c r="C64" s="145" t="n">
        <v>0.0317606317571685</v>
      </c>
      <c r="D64" s="143" t="inlineStr">
        <is>
          <t>+0.0247 to +0.0389</t>
        </is>
      </c>
      <c r="E64" s="160" t="n">
        <v>0.07378980603000511</v>
      </c>
      <c r="F64" s="161" t="n">
        <v>0.0029970029970029</v>
      </c>
      <c r="G64" s="147" t="inlineStr">
        <is>
          <t>Yes</t>
        </is>
      </c>
    </row>
    <row r="65">
      <c r="A65" s="143" t="inlineStr">
        <is>
          <t>Distilled − RAD-DINO alone</t>
        </is>
      </c>
      <c r="B65" s="143" t="inlineStr">
        <is>
          <t>Macro recall</t>
        </is>
      </c>
      <c r="C65" s="145" t="n">
        <v>0.0006206726810340999</v>
      </c>
      <c r="D65" s="143" t="inlineStr">
        <is>
          <t>-0.0138 to +0.0165</t>
        </is>
      </c>
      <c r="E65" s="160" t="n">
        <v>0.001344727248453649</v>
      </c>
      <c r="F65" s="161" t="n">
        <v>0.9419999999999999</v>
      </c>
      <c r="G65" s="148" t="inlineStr">
        <is>
          <t>No</t>
        </is>
      </c>
    </row>
    <row r="66">
      <c r="A66" s="143" t="inlineStr">
        <is>
          <t>Distilled − Average of both</t>
        </is>
      </c>
      <c r="B66" s="143" t="inlineStr">
        <is>
          <t>Macro recall</t>
        </is>
      </c>
      <c r="C66" s="145" t="n">
        <v>0.0060740646856386</v>
      </c>
      <c r="D66" s="143" t="inlineStr">
        <is>
          <t>-0.0060 to +0.0175</t>
        </is>
      </c>
      <c r="E66" s="160" t="n">
        <v>0.01331719578885924</v>
      </c>
      <c r="F66" s="161" t="n">
        <v>0.6039999999999999</v>
      </c>
      <c r="G66" s="148" t="inlineStr">
        <is>
          <t>No</t>
        </is>
      </c>
    </row>
    <row r="67" ht="15" customHeight="1" s="65">
      <c r="A67" s="136" t="inlineStr">
        <is>
          <t>Significant = CI excludes 0 and Holm p &lt; 0.05. p = 0.003 is the smallest value 1,000 resamples can give after Holm (3 × 1/1001).</t>
        </is>
      </c>
    </row>
    <row r="69">
      <c r="A69" s="137" t="inlineStr">
        <is>
          <t>F. Outcome against the rules fixed before the run (primary metric: test macro AUROC)</t>
        </is>
      </c>
      <c r="B69" s="138" t="n"/>
      <c r="C69" s="138" t="n"/>
      <c r="D69" s="138" t="n"/>
      <c r="E69" s="138" t="n"/>
      <c r="F69" s="138" t="n"/>
      <c r="G69" s="138" t="n"/>
      <c r="H69" s="138" t="n"/>
      <c r="I69" s="138" t="n"/>
      <c r="J69" s="138" t="n"/>
      <c r="K69" s="138" t="n"/>
      <c r="L69" s="138" t="n"/>
    </row>
    <row r="70" ht="30" customHeight="1" s="65">
      <c r="A70" s="139" t="inlineStr">
        <is>
          <t>Rule</t>
        </is>
      </c>
      <c r="B70" s="139" t="inlineStr">
        <is>
          <t>Measure</t>
        </is>
      </c>
      <c r="C70" s="139" t="inlineStr">
        <is>
          <t>Estimate</t>
        </is>
      </c>
      <c r="D70" s="139" t="inlineStr">
        <is>
          <t>95% CI low</t>
        </is>
      </c>
      <c r="E70" s="139" t="inlineStr">
        <is>
          <t>95% CI high</t>
        </is>
      </c>
      <c r="F70" s="139" t="inlineStr">
        <is>
          <t>Threshold</t>
        </is>
      </c>
      <c r="G70" s="139" t="inlineStr">
        <is>
          <t>Met?</t>
        </is>
      </c>
    </row>
    <row r="71">
      <c r="A71" s="140" t="inlineStr">
        <is>
          <t>Helps</t>
        </is>
      </c>
      <c r="B71" s="143" t="inlineStr">
        <is>
          <t>Distilled − CNN</t>
        </is>
      </c>
      <c r="C71" s="145">
        <f>C49</f>
        <v>0.0075565314243715</v>
      </c>
      <c r="D71" s="145" t="n">
        <v>0.0057653846294482</v>
      </c>
      <c r="E71" s="145" t="n">
        <v>0.0096323833158455</v>
      </c>
      <c r="F71" s="148" t="inlineStr">
        <is>
          <t>CI low &gt; 0, Holm p &lt; 0.05</t>
        </is>
      </c>
      <c r="G71" s="147" t="str">
        <f>IF(AND(D71&gt;0,F49&lt;0.05),"Yes","No")</f>
        <v>Yes</v>
      </c>
    </row>
    <row r="72">
      <c r="A72" s="140" t="inlineStr">
        <is>
          <t>Matches RAD-DINO</t>
        </is>
      </c>
      <c r="B72" s="143" t="inlineStr">
        <is>
          <t>Distilled − RAD-DINO</t>
        </is>
      </c>
      <c r="C72" s="145">
        <f>C50</f>
        <v>-0.0025256843332717</v>
      </c>
      <c r="D72" s="145" t="n">
        <v>-0.00558463686749</v>
      </c>
      <c r="E72" s="145" t="n">
        <v>0.0004416692074732</v>
      </c>
      <c r="F72" s="162" t="n">
        <v>-0.005</v>
      </c>
      <c r="G72" s="147" t="str">
        <f>IF(D72&gt;F72,"Yes","No")</f>
        <v>No</v>
      </c>
    </row>
    <row r="73">
      <c r="A73" s="140" t="inlineStr">
        <is>
          <t>Beats RAD-DINO</t>
        </is>
      </c>
      <c r="B73" s="143" t="inlineStr">
        <is>
          <t>Distilled − RAD-DINO</t>
        </is>
      </c>
      <c r="C73" s="145">
        <f>C50</f>
        <v>-0.0025256843332717</v>
      </c>
      <c r="D73" s="145" t="n">
        <v>-0.00558463686749</v>
      </c>
      <c r="E73" s="145" t="n">
        <v>0.0004416692074732</v>
      </c>
      <c r="F73" s="148" t="inlineStr">
        <is>
          <t>CI low &gt; 0, Holm p &lt; 0.05</t>
        </is>
      </c>
      <c r="G73" s="147" t="str">
        <f>IF(AND(D73&gt;0,F50&lt;0.05),"Yes","No")</f>
        <v>No</v>
      </c>
    </row>
    <row r="74">
      <c r="A74" s="155" t="inlineStr">
        <is>
          <t>Verdict</t>
        </is>
      </c>
      <c r="B74" s="155" t="str">
        <f>IF(G73="Yes","Beats RAD-DINO",IF(AND(G71="Yes",G72="Yes"),"Matches RAD-DINO",IF(G71="Yes","Helps: better than the CNN, below RAD-DINO","Fails: no gain over the CNN")))</f>
        <v>Helps: better than the CNN, below RAD-DINO</v>
      </c>
      <c r="C74" s="163" t="n"/>
      <c r="D74" s="163" t="n"/>
      <c r="E74" s="163" t="n"/>
      <c r="F74" s="163" t="n"/>
      <c r="G74" s="163" t="n"/>
    </row>
    <row r="75" ht="24" customHeight="1" s="65">
      <c r="A75" s="136" t="inlineStr">
        <is>
          <t>'Matches' was missed by 0.0006 (lower bound −0.0056 against −0.005). The distilled CNN is not significantly worse than RAD-DINO (Holm p = 0.078), but the pre-registered verdict is 'helps' and should be reported as such. Blue = margin from the protocol.</t>
        </is>
      </c>
    </row>
    <row r="77">
      <c r="A77" s="137" t="inlineStr">
        <is>
          <t>G. How much of the CNN → RAD-DINO gap did distillation close? (test set)</t>
        </is>
      </c>
      <c r="B77" s="138" t="n"/>
      <c r="C77" s="138" t="n"/>
      <c r="D77" s="138" t="n"/>
      <c r="E77" s="138" t="n"/>
      <c r="F77" s="138" t="n"/>
      <c r="G77" s="138" t="n"/>
      <c r="H77" s="138" t="n"/>
      <c r="I77" s="138" t="n"/>
      <c r="J77" s="138" t="n"/>
      <c r="K77" s="138" t="n"/>
      <c r="L77" s="138" t="n"/>
    </row>
    <row r="78" ht="30" customHeight="1" s="65">
      <c r="A78" s="139" t="inlineStr">
        <is>
          <t>Metric</t>
        </is>
      </c>
      <c r="B78" s="139" t="inlineStr">
        <is>
          <t>CNN</t>
        </is>
      </c>
      <c r="C78" s="139" t="inlineStr">
        <is>
          <t>RAD-DINO</t>
        </is>
      </c>
      <c r="D78" s="139" t="inlineStr">
        <is>
          <t>Distilled</t>
        </is>
      </c>
      <c r="E78" s="139" t="inlineStr">
        <is>
          <t>Gap (RAD-DINO − CNN)</t>
        </is>
      </c>
      <c r="F78" s="139" t="inlineStr">
        <is>
          <t>Gain (Distilled − CNN)</t>
        </is>
      </c>
      <c r="G78" s="139" t="inlineStr">
        <is>
          <t>Share of gap closed</t>
        </is>
      </c>
    </row>
    <row r="79">
      <c r="A79" s="143" t="inlineStr">
        <is>
          <t>Macro AUROC</t>
        </is>
      </c>
      <c r="B79" s="144">
        <f>B40</f>
        <v>0.826303894194635</v>
      </c>
      <c r="C79" s="144">
        <f>B41</f>
        <v>0.836386109952279</v>
      </c>
      <c r="D79" s="144">
        <f>B44</f>
        <v>0.833860425619007</v>
      </c>
      <c r="E79" s="145">
        <f>C79-B79</f>
        <v>0.010082215757644</v>
      </c>
      <c r="F79" s="145">
        <f>D79-B79</f>
        <v>0.00755653142437174</v>
      </c>
      <c r="G79" s="164">
        <f>IF(E79&gt;0,F79/E79,"–")</f>
        <v>0.749491144210301</v>
      </c>
    </row>
    <row r="80">
      <c r="A80" s="143" t="inlineStr">
        <is>
          <t>Macro AUPRC</t>
        </is>
      </c>
      <c r="B80" s="144">
        <f>D40</f>
        <v>0.298846753078612</v>
      </c>
      <c r="C80" s="144">
        <f>D41</f>
        <v>0.322322274143313</v>
      </c>
      <c r="D80" s="144">
        <f>D44</f>
        <v>0.314613112142483</v>
      </c>
      <c r="E80" s="145">
        <f>C80-B80</f>
        <v>0.023475521064701</v>
      </c>
      <c r="F80" s="145">
        <f>D80-B80</f>
        <v>0.0157663590638713</v>
      </c>
      <c r="G80" s="164">
        <f>IF(E80&gt;0,F80/E80,"–")</f>
        <v>0.671608481891309</v>
      </c>
    </row>
    <row r="81">
      <c r="A81" s="143" t="inlineStr">
        <is>
          <t>Macro F1</t>
        </is>
      </c>
      <c r="B81" s="144">
        <f>F40</f>
        <v>0.353910159186117</v>
      </c>
      <c r="C81" s="144">
        <f>F41</f>
        <v>0.378779775215721</v>
      </c>
      <c r="D81" s="144">
        <f>F44</f>
        <v>0.370185230204689</v>
      </c>
      <c r="E81" s="145">
        <f>C81-B81</f>
        <v>0.024869616029604</v>
      </c>
      <c r="F81" s="145">
        <f>D81-B81</f>
        <v>0.0162750710185724</v>
      </c>
      <c r="G81" s="164">
        <f>IF(E81&gt;0,F81/E81,"–")</f>
        <v>0.65441585423752</v>
      </c>
    </row>
    <row r="82">
      <c r="A82" s="143" t="inlineStr">
        <is>
          <t>Micro F1</t>
        </is>
      </c>
      <c r="B82" s="144">
        <f>H40</f>
        <v>0.417170004344353</v>
      </c>
      <c r="C82" s="144">
        <f>H41</f>
        <v>0.431707049063238</v>
      </c>
      <c r="D82" s="144">
        <f>H44</f>
        <v>0.419155509783728</v>
      </c>
      <c r="E82" s="145">
        <f>C82-B82</f>
        <v>0.014537044718885</v>
      </c>
      <c r="F82" s="145">
        <f>D82-B82</f>
        <v>0.00198550543937515</v>
      </c>
      <c r="G82" s="164">
        <f>IF(E82&gt;0,F82/E82,"–")</f>
        <v>0.136582467604009</v>
      </c>
    </row>
    <row r="83">
      <c r="A83" s="143" t="inlineStr">
        <is>
          <t>Macro precision</t>
        </is>
      </c>
      <c r="B83" s="144">
        <f>J40</f>
        <v>0.318840957530018</v>
      </c>
      <c r="C83" s="144">
        <f>J41</f>
        <v>0.336186775690901</v>
      </c>
      <c r="D83" s="144">
        <f>J44</f>
        <v>0.33258313953728</v>
      </c>
      <c r="E83" s="145">
        <f>C83-B83</f>
        <v>0.017345818160883</v>
      </c>
      <c r="F83" s="145">
        <f>D83-B83</f>
        <v>0.0137421820072616</v>
      </c>
      <c r="G83" s="164">
        <f>IF(E83&gt;0,F83/E83,"–")</f>
        <v>0.792247553837036</v>
      </c>
    </row>
    <row r="84">
      <c r="A84" s="143" t="inlineStr">
        <is>
          <t>Macro recall</t>
        </is>
      </c>
      <c r="B84" s="144">
        <f>K40</f>
        <v>0.430420317736759</v>
      </c>
      <c r="C84" s="144">
        <f>K41</f>
        <v>0.461560276812893</v>
      </c>
      <c r="D84" s="144">
        <f>K44</f>
        <v>0.462180949493927</v>
      </c>
      <c r="E84" s="145">
        <f>C84-B84</f>
        <v>0.031139959076134</v>
      </c>
      <c r="F84" s="145">
        <f>D84-B84</f>
        <v>0.0317606317571682</v>
      </c>
      <c r="G84" s="164">
        <f>IF(E84&gt;0,F84/E84,"–")</f>
        <v>1.01993171151949</v>
      </c>
    </row>
    <row r="85" ht="24" customHeight="1" s="65">
      <c r="A85" s="136" t="inlineStr">
        <is>
          <t>Distillation closes about three quarters of the AUROC gap and two thirds of the AUPRC and macro-F1 gaps at no extra test-time cost. Micro F1 moves little: the student finds more true positives but also raises more false alarms (section I).</t>
        </is>
      </c>
    </row>
    <row r="87">
      <c r="A87" s="137" t="inlineStr">
        <is>
          <t>H. Test AUROC per finding (sorted by number of test cases)</t>
        </is>
      </c>
      <c r="B87" s="138" t="n"/>
      <c r="C87" s="138" t="n"/>
      <c r="D87" s="138" t="n"/>
      <c r="E87" s="138" t="n"/>
      <c r="F87" s="138" t="n"/>
      <c r="G87" s="138" t="n"/>
      <c r="H87" s="138" t="n"/>
      <c r="I87" s="138" t="n"/>
      <c r="J87" s="138" t="n"/>
      <c r="K87" s="138" t="n"/>
      <c r="L87" s="138" t="n"/>
    </row>
    <row r="88" ht="26" customHeight="1" s="65">
      <c r="A88" s="141" t="inlineStr">
        <is>
          <t>Show 'share of gap closed' only if RAD-DINO leads the CNN by at least</t>
        </is>
      </c>
      <c r="B88" s="165" t="n">
        <v>0.005</v>
      </c>
    </row>
    <row r="89" ht="30" customHeight="1" s="65">
      <c r="A89" s="139" t="inlineStr">
        <is>
          <t>Finding</t>
        </is>
      </c>
      <c r="B89" s="139" t="inlineStr">
        <is>
          <t>Test cases</t>
        </is>
      </c>
      <c r="C89" s="139" t="inlineStr">
        <is>
          <t>CNN</t>
        </is>
      </c>
      <c r="D89" s="139" t="inlineStr">
        <is>
          <t>RAD-DINO</t>
        </is>
      </c>
      <c r="E89" s="139" t="inlineStr">
        <is>
          <t>Average</t>
        </is>
      </c>
      <c r="F89" s="139" t="inlineStr">
        <is>
          <t>Distilled</t>
        </is>
      </c>
      <c r="G89" s="139" t="inlineStr">
        <is>
          <t>Distilled − CNN</t>
        </is>
      </c>
      <c r="H89" s="139" t="inlineStr">
        <is>
          <t>Distilled − RAD-DINO</t>
        </is>
      </c>
      <c r="I89" s="139" t="inlineStr">
        <is>
          <t>Share of gap closed</t>
        </is>
      </c>
    </row>
    <row r="90">
      <c r="A90" s="143" t="inlineStr">
        <is>
          <t>Infiltration</t>
        </is>
      </c>
      <c r="B90" s="166" t="n">
        <v>6112</v>
      </c>
      <c r="C90" s="161" t="n">
        <v>0.7089855191291337</v>
      </c>
      <c r="D90" s="161" t="n">
        <v>0.7094271739679544</v>
      </c>
      <c r="E90" s="161" t="n">
        <v>0.7168405471437967</v>
      </c>
      <c r="F90" s="161" t="n">
        <v>0.7108339069793875</v>
      </c>
      <c r="G90" s="167">
        <f>F90-C90</f>
        <v>0.00184838785025387</v>
      </c>
      <c r="H90" s="167">
        <f>F90-D90</f>
        <v>0.00140673301143313</v>
      </c>
      <c r="I90" s="164" t="str">
        <f>IF(D90-C90&gt;=$B$88,(F90-C90)/(D90-C90),"no gap")</f>
        <v>no gap</v>
      </c>
    </row>
    <row r="91">
      <c r="A91" s="143" t="inlineStr">
        <is>
          <t>Effusion</t>
        </is>
      </c>
      <c r="B91" s="166" t="n">
        <v>4658</v>
      </c>
      <c r="C91" s="161" t="n">
        <v>0.8393305711794797</v>
      </c>
      <c r="D91" s="161" t="n">
        <v>0.8425047845156206</v>
      </c>
      <c r="E91" s="161" t="n">
        <v>0.8477698946461205</v>
      </c>
      <c r="F91" s="161" t="n">
        <v>0.8406146481006858</v>
      </c>
      <c r="G91" s="167">
        <f>F91-C91</f>
        <v>0.00128407692120602</v>
      </c>
      <c r="H91" s="167">
        <f>F91-D91</f>
        <v>-0.00189013641493485</v>
      </c>
      <c r="I91" s="164" t="str">
        <f>IF(D91-C91&gt;=$B$88,(F91-C91)/(D91-C91),"no gap")</f>
        <v>no gap</v>
      </c>
    </row>
    <row r="92">
      <c r="A92" s="143" t="inlineStr">
        <is>
          <t>Atelectasis</t>
        </is>
      </c>
      <c r="B92" s="166" t="n">
        <v>3279</v>
      </c>
      <c r="C92" s="161" t="n">
        <v>0.7904646654570862</v>
      </c>
      <c r="D92" s="161" t="n">
        <v>0.7980244335675954</v>
      </c>
      <c r="E92" s="161" t="n">
        <v>0.8043338915244687</v>
      </c>
      <c r="F92" s="161" t="n">
        <v>0.7964807269912396</v>
      </c>
      <c r="G92" s="167">
        <f>F92-C92</f>
        <v>0.00601606153415346</v>
      </c>
      <c r="H92" s="167">
        <f>F92-D92</f>
        <v>-0.00154370657635583</v>
      </c>
      <c r="I92" s="164">
        <f>IF(D92-C92&gt;=$B$88,(F92-C92)/(D92-C92),"no gap")</f>
        <v>0.795799744940611</v>
      </c>
    </row>
    <row r="93">
      <c r="A93" s="143" t="inlineStr">
        <is>
          <t>Pneumothorax</t>
        </is>
      </c>
      <c r="B93" s="166" t="n">
        <v>2665</v>
      </c>
      <c r="C93" s="161" t="n">
        <v>0.8822940229449256</v>
      </c>
      <c r="D93" s="161" t="n">
        <v>0.9040798879221889</v>
      </c>
      <c r="E93" s="161" t="n">
        <v>0.9053095905712077</v>
      </c>
      <c r="F93" s="161" t="n">
        <v>0.8889636116114065</v>
      </c>
      <c r="G93" s="167">
        <f>F93-C93</f>
        <v>0.00666958866648082</v>
      </c>
      <c r="H93" s="167">
        <f>F93-D93</f>
        <v>-0.0151162763107824</v>
      </c>
      <c r="I93" s="164">
        <f>IF(D93-C93&gt;=$B$88,(F93-C93)/(D93-C93),"no gap")</f>
        <v>0.306142935956021</v>
      </c>
    </row>
    <row r="94">
      <c r="A94" s="143" t="inlineStr">
        <is>
          <t>Consolidation</t>
        </is>
      </c>
      <c r="B94" s="166" t="n">
        <v>1815</v>
      </c>
      <c r="C94" s="161" t="n">
        <v>0.7606011026002539</v>
      </c>
      <c r="D94" s="161" t="n">
        <v>0.7608379168822762</v>
      </c>
      <c r="E94" s="161" t="n">
        <v>0.7719875799637717</v>
      </c>
      <c r="F94" s="161" t="n">
        <v>0.7673088790122633</v>
      </c>
      <c r="G94" s="167">
        <f>F94-C94</f>
        <v>0.00670777641200937</v>
      </c>
      <c r="H94" s="167">
        <f>F94-D94</f>
        <v>0.0064709621299871</v>
      </c>
      <c r="I94" s="164" t="str">
        <f>IF(D94-C94&gt;=$B$88,(F94-C94)/(D94-C94),"no gap")</f>
        <v>no gap</v>
      </c>
    </row>
    <row r="95">
      <c r="A95" s="143" t="inlineStr">
        <is>
          <t>Mass</t>
        </is>
      </c>
      <c r="B95" s="166" t="n">
        <v>1748</v>
      </c>
      <c r="C95" s="161" t="n">
        <v>0.8458439611244978</v>
      </c>
      <c r="D95" s="161" t="n">
        <v>0.8512968791860271</v>
      </c>
      <c r="E95" s="161" t="n">
        <v>0.8598363865503643</v>
      </c>
      <c r="F95" s="161" t="n">
        <v>0.8509944657122877</v>
      </c>
      <c r="G95" s="167">
        <f>F95-C95</f>
        <v>0.00515050458778987</v>
      </c>
      <c r="H95" s="167">
        <f>F95-D95</f>
        <v>-0.000302413473739493</v>
      </c>
      <c r="I95" s="164">
        <f>IF(D95-C95&gt;=$B$88,(F95-C95)/(D95-C95),"no gap")</f>
        <v>0.944540983318081</v>
      </c>
    </row>
    <row r="96">
      <c r="A96" s="143" t="inlineStr">
        <is>
          <t>Nodule</t>
        </is>
      </c>
      <c r="B96" s="166" t="n">
        <v>1623</v>
      </c>
      <c r="C96" s="161" t="n">
        <v>0.7980560077098442</v>
      </c>
      <c r="D96" s="161" t="n">
        <v>0.8030155818908923</v>
      </c>
      <c r="E96" s="161" t="n">
        <v>0.8169443242255053</v>
      </c>
      <c r="F96" s="161" t="n">
        <v>0.8025260190151792</v>
      </c>
      <c r="G96" s="167">
        <f>F96-C96</f>
        <v>0.00447001130533498</v>
      </c>
      <c r="H96" s="167">
        <f>F96-D96</f>
        <v>-0.000489562875713112</v>
      </c>
      <c r="I96" s="164" t="str">
        <f>IF(D96-C96&gt;=$B$88,(F96-C96)/(D96-C96),"no gap")</f>
        <v>no gap</v>
      </c>
    </row>
    <row r="97">
      <c r="A97" s="143" t="inlineStr">
        <is>
          <t>Pleural Thickening</t>
        </is>
      </c>
      <c r="B97" s="166" t="n">
        <v>1143</v>
      </c>
      <c r="C97" s="161" t="n">
        <v>0.793528045427479</v>
      </c>
      <c r="D97" s="161" t="n">
        <v>0.813807132428489</v>
      </c>
      <c r="E97" s="161" t="n">
        <v>0.8166572086312381</v>
      </c>
      <c r="F97" s="161" t="n">
        <v>0.8010654932191055</v>
      </c>
      <c r="G97" s="167">
        <f>F97-C97</f>
        <v>0.00753744779162646</v>
      </c>
      <c r="H97" s="167">
        <f>F97-D97</f>
        <v>-0.0127416392093835</v>
      </c>
      <c r="I97" s="164">
        <f>IF(D97-C97&gt;=$B$88,(F97-C97)/(D97-C97),"no gap")</f>
        <v>0.371685756427351</v>
      </c>
    </row>
    <row r="98">
      <c r="A98" s="143" t="inlineStr">
        <is>
          <t>Emphysema</t>
        </is>
      </c>
      <c r="B98" s="166" t="n">
        <v>1093</v>
      </c>
      <c r="C98" s="161" t="n">
        <v>0.936363786737244</v>
      </c>
      <c r="D98" s="161" t="n">
        <v>0.949321626468503</v>
      </c>
      <c r="E98" s="161" t="n">
        <v>0.9483410530719412</v>
      </c>
      <c r="F98" s="161" t="n">
        <v>0.9387983897559604</v>
      </c>
      <c r="G98" s="167">
        <f>F98-C98</f>
        <v>0.00243460301871645</v>
      </c>
      <c r="H98" s="167">
        <f>F98-D98</f>
        <v>-0.0105232367125426</v>
      </c>
      <c r="I98" s="164">
        <f>IF(D98-C98&gt;=$B$88,(F98-C98)/(D98-C98),"no gap")</f>
        <v>0.187886489508224</v>
      </c>
    </row>
    <row r="99">
      <c r="A99" s="143" t="inlineStr">
        <is>
          <t>Cardiomegaly</t>
        </is>
      </c>
      <c r="B99" s="166" t="n">
        <v>1069</v>
      </c>
      <c r="C99" s="161" t="n">
        <v>0.8878488199732388</v>
      </c>
      <c r="D99" s="161" t="n">
        <v>0.8982792983948542</v>
      </c>
      <c r="E99" s="161" t="n">
        <v>0.903599107270455</v>
      </c>
      <c r="F99" s="161" t="n">
        <v>0.8951961380602572</v>
      </c>
      <c r="G99" s="167">
        <f>F99-C99</f>
        <v>0.00734731808701838</v>
      </c>
      <c r="H99" s="167">
        <f>F99-D99</f>
        <v>-0.00308316033459699</v>
      </c>
      <c r="I99" s="164">
        <f>IF(D99-C99&gt;=$B$88,(F99-C99)/(D99-C99),"no gap")</f>
        <v>0.704408541011152</v>
      </c>
    </row>
    <row r="100">
      <c r="A100" s="143" t="inlineStr">
        <is>
          <t>Edema</t>
        </is>
      </c>
      <c r="B100" s="166" t="n">
        <v>925</v>
      </c>
      <c r="C100" s="161" t="n">
        <v>0.8579022969303055</v>
      </c>
      <c r="D100" s="161" t="n">
        <v>0.8564471909792326</v>
      </c>
      <c r="E100" s="161" t="n">
        <v>0.8658042104363696</v>
      </c>
      <c r="F100" s="161" t="n">
        <v>0.8639284114076379</v>
      </c>
      <c r="G100" s="167">
        <f>F100-C100</f>
        <v>0.00602611447733237</v>
      </c>
      <c r="H100" s="167">
        <f>F100-D100</f>
        <v>0.00748122042840527</v>
      </c>
      <c r="I100" s="164" t="str">
        <f>IF(D100-C100&gt;=$B$88,(F100-C100)/(D100-C100),"no gap")</f>
        <v>no gap</v>
      </c>
    </row>
    <row r="101">
      <c r="A101" s="143" t="inlineStr">
        <is>
          <t>Pneumonia</t>
        </is>
      </c>
      <c r="B101" s="166" t="n">
        <v>555</v>
      </c>
      <c r="C101" s="161" t="n">
        <v>0.7274721708650066</v>
      </c>
      <c r="D101" s="161" t="n">
        <v>0.7294738610660498</v>
      </c>
      <c r="E101" s="161" t="n">
        <v>0.7415086105633608</v>
      </c>
      <c r="F101" s="161" t="n">
        <v>0.73506674279407</v>
      </c>
      <c r="G101" s="167">
        <f>F101-C101</f>
        <v>0.00759457192906343</v>
      </c>
      <c r="H101" s="167">
        <f>F101-D101</f>
        <v>0.00559288172802019</v>
      </c>
      <c r="I101" s="164" t="str">
        <f>IF(D101-C101&gt;=$B$88,(F101-C101)/(D101-C101),"no gap")</f>
        <v>no gap</v>
      </c>
    </row>
    <row r="102">
      <c r="A102" s="143" t="inlineStr">
        <is>
          <t>Fibrosis</t>
        </is>
      </c>
      <c r="B102" s="166" t="n">
        <v>435</v>
      </c>
      <c r="C102" s="161" t="n">
        <v>0.8294017789801494</v>
      </c>
      <c r="D102" s="161" t="n">
        <v>0.8488265683937967</v>
      </c>
      <c r="E102" s="161" t="n">
        <v>0.850755022711211</v>
      </c>
      <c r="F102" s="161" t="n">
        <v>0.8426392880424776</v>
      </c>
      <c r="G102" s="167">
        <f>F102-C102</f>
        <v>0.0132375090623281</v>
      </c>
      <c r="H102" s="167">
        <f>F102-D102</f>
        <v>-0.0061872803513191</v>
      </c>
      <c r="I102" s="164">
        <f>IF(D102-C102&gt;=$B$88,(F102-C102)/(D102-C102),"no gap")</f>
        <v>0.68147503586463</v>
      </c>
    </row>
    <row r="103">
      <c r="A103" s="143" t="inlineStr">
        <is>
          <t>Hernia</t>
        </is>
      </c>
      <c r="B103" s="166" t="n">
        <v>86</v>
      </c>
      <c r="C103" s="161" t="n">
        <v>0.9101617696662504</v>
      </c>
      <c r="D103" s="161" t="n">
        <v>0.94406320366842</v>
      </c>
      <c r="E103" s="161" t="n">
        <v>0.9492004959295488</v>
      </c>
      <c r="F103" s="161" t="n">
        <v>0.9396292379641362</v>
      </c>
      <c r="G103" s="167">
        <f>F103-C103</f>
        <v>0.0294674682978858</v>
      </c>
      <c r="H103" s="167">
        <f>F103-D103</f>
        <v>-0.00443396570428378</v>
      </c>
      <c r="I103" s="164">
        <f>IF(D103-C103&gt;=$B$88,(F103-C103)/(D103-C103),"no gap")</f>
        <v>0.869210084033613</v>
      </c>
    </row>
    <row r="104" ht="36" customHeight="1" s="65">
      <c r="A104" s="136" t="inlineStr">
        <is>
          <t>Fine-detail findings, where RAD-DINO's 518 px input and X-ray pretraining matter most, close least (Emphysema, Pneumothorax, Pleural thickening). Where RAD-DINO had no lead (Infiltration, Consolidation, Edema, Pneumonia), the distilled CNN is above both single models. Hernia has only 86 test cases. Per-finding differences were not tested for significance.</t>
        </is>
      </c>
    </row>
    <row r="106">
      <c r="A106" s="137" t="inlineStr">
        <is>
          <t>I. Did distillation fix the silent misses? (test set, positive labels; each system at its own F1 thresholds)</t>
        </is>
      </c>
      <c r="B106" s="138" t="n"/>
      <c r="C106" s="138" t="n"/>
      <c r="D106" s="138" t="n"/>
      <c r="E106" s="138" t="n"/>
      <c r="F106" s="138" t="n"/>
      <c r="G106" s="138" t="n"/>
      <c r="H106" s="138" t="n"/>
      <c r="I106" s="138" t="n"/>
      <c r="J106" s="138" t="n"/>
      <c r="K106" s="138" t="n"/>
      <c r="L106" s="138" t="n"/>
    </row>
    <row r="107" ht="30" customHeight="1" s="65">
      <c r="A107" s="139" t="inlineStr">
        <is>
          <t>System</t>
        </is>
      </c>
      <c r="B107" s="139" t="inlineStr">
        <is>
          <t>True positives</t>
        </is>
      </c>
      <c r="C107" s="139" t="inlineStr">
        <is>
          <t>False positives</t>
        </is>
      </c>
      <c r="D107" s="139" t="inlineStr">
        <is>
          <t>False negatives</t>
        </is>
      </c>
      <c r="E107" s="139" t="inlineStr">
        <is>
          <t>Predicted positives per image</t>
        </is>
      </c>
      <c r="F107" s="139" t="inlineStr">
        <is>
          <t>TP vs CNN</t>
        </is>
      </c>
      <c r="G107" s="139" t="inlineStr">
        <is>
          <t>FP vs CNN</t>
        </is>
      </c>
    </row>
    <row r="108">
      <c r="A108" s="143" t="inlineStr">
        <is>
          <t>CNN alone</t>
        </is>
      </c>
      <c r="B108" s="166" t="n">
        <v>14884</v>
      </c>
      <c r="C108" s="166" t="n">
        <v>29267</v>
      </c>
      <c r="D108" s="166" t="n">
        <v>12322</v>
      </c>
      <c r="E108" s="168" t="n">
        <v>1.725</v>
      </c>
      <c r="F108" s="169">
        <f>B108-B$108</f>
        <v>0</v>
      </c>
      <c r="G108" s="169">
        <f>C108-C$108</f>
        <v>0</v>
      </c>
    </row>
    <row r="109">
      <c r="A109" s="143" t="inlineStr">
        <is>
          <t>RAD-DINO alone</t>
        </is>
      </c>
      <c r="B109" s="166" t="n">
        <v>15715</v>
      </c>
      <c r="C109" s="166" t="n">
        <v>29883</v>
      </c>
      <c r="D109" s="166" t="n">
        <v>11491</v>
      </c>
      <c r="E109" s="168" t="n">
        <v>1.781</v>
      </c>
      <c r="F109" s="169">
        <f>B109-B$108</f>
        <v>831</v>
      </c>
      <c r="G109" s="169">
        <f>C109-C$108</f>
        <v>616</v>
      </c>
    </row>
    <row r="110">
      <c r="A110" s="143" t="inlineStr">
        <is>
          <t>Average of both</t>
        </is>
      </c>
      <c r="B110" s="166" t="n">
        <v>15525</v>
      </c>
      <c r="C110" s="166" t="n">
        <v>27500</v>
      </c>
      <c r="D110" s="166" t="n">
        <v>11681</v>
      </c>
      <c r="E110" s="168" t="n">
        <v>1.681</v>
      </c>
      <c r="F110" s="169">
        <f>B110-B$108</f>
        <v>641</v>
      </c>
      <c r="G110" s="169">
        <f>C110-C$108</f>
        <v>-1767</v>
      </c>
    </row>
    <row r="111">
      <c r="A111" s="155" t="inlineStr">
        <is>
          <t>Distilled CNN (M10)</t>
        </is>
      </c>
      <c r="B111" s="170" t="n">
        <v>15466</v>
      </c>
      <c r="C111" s="170" t="n">
        <v>31124</v>
      </c>
      <c r="D111" s="170" t="n">
        <v>11740</v>
      </c>
      <c r="E111" s="171" t="n">
        <v>1.82</v>
      </c>
      <c r="F111" s="172">
        <f>B111-B$108</f>
        <v>582</v>
      </c>
      <c r="G111" s="172">
        <f>C111-C$108</f>
        <v>1857</v>
      </c>
    </row>
    <row r="113" ht="30" customHeight="1" s="65">
      <c r="A113" s="139" t="inlineStr">
        <is>
          <t>Positives the CNN missed</t>
        </is>
      </c>
      <c r="B113" s="139" t="inlineStr">
        <is>
          <t>Count</t>
        </is>
      </c>
      <c r="C113" s="139" t="inlineStr">
        <is>
          <t>Found by RAD-DINO</t>
        </is>
      </c>
      <c r="D113" s="139" t="inlineStr">
        <is>
          <t>Found by distilled CNN</t>
        </is>
      </c>
      <c r="E113" s="139" t="inlineStr">
        <is>
          <t>Found by average</t>
        </is>
      </c>
      <c r="F113" s="139" t="inlineStr">
        <is>
          <t>Distilled ÷ RAD-DINO</t>
        </is>
      </c>
    </row>
    <row r="114">
      <c r="A114" s="143" t="inlineStr">
        <is>
          <t>All positives the CNN called No</t>
        </is>
      </c>
      <c r="B114" s="166" t="n">
        <v>12322</v>
      </c>
      <c r="C114" s="166" t="n">
        <v>2831</v>
      </c>
      <c r="D114" s="166" t="n">
        <v>1517</v>
      </c>
      <c r="E114" s="166" t="n">
        <v>1721</v>
      </c>
      <c r="F114" s="164">
        <f>D114/C114</f>
        <v>0.535853055457436</v>
      </c>
    </row>
    <row r="115">
      <c r="A115" s="143" t="inlineStr">
        <is>
          <t>… of which RAD-DINO found</t>
        </is>
      </c>
      <c r="B115" s="166" t="n">
        <v>2831</v>
      </c>
      <c r="C115" s="166" t="n">
        <v>2831</v>
      </c>
      <c r="D115" s="166" t="n">
        <v>936</v>
      </c>
      <c r="E115" s="148" t="inlineStr"/>
      <c r="F115" s="164">
        <f>D115/C115</f>
        <v>0.330625220770046</v>
      </c>
    </row>
    <row r="116" ht="36" customHeight="1" s="65">
      <c r="A116" s="136" t="inlineStr">
        <is>
          <t>The student recovers about half of RAD-DINO's extra true positives on the CNN's misses, and catches a third of the exact positives RAD-DINO found and the CNN missed. It pays with more false alarms (+1,857), because its per-class thresholds (tuned for F1 on validation) sit lower. True findings per image = 1.06. Computed post hoc from the saved test predictions (exploratory).</t>
        </is>
      </c>
    </row>
    <row r="118">
      <c r="A118" s="137" t="inlineStr">
        <is>
          <t>J. All systems side by side: accuracy against test-time cost (compute links to sheet 5, section D)</t>
        </is>
      </c>
      <c r="B118" s="138" t="n"/>
      <c r="C118" s="138" t="n"/>
      <c r="D118" s="138" t="n"/>
      <c r="E118" s="138" t="n"/>
      <c r="F118" s="138" t="n"/>
      <c r="G118" s="138" t="n"/>
      <c r="H118" s="138" t="n"/>
      <c r="I118" s="138" t="n"/>
      <c r="J118" s="138" t="n"/>
      <c r="K118" s="138" t="n"/>
      <c r="L118" s="138" t="n"/>
    </row>
    <row r="119" ht="30" customHeight="1" s="65">
      <c r="A119" s="139" t="inlineStr">
        <is>
          <t>System</t>
        </is>
      </c>
      <c r="B119" s="139" t="inlineStr">
        <is>
          <t>Compute vs RAD-DINO, batch 32</t>
        </is>
      </c>
      <c r="C119" s="139" t="inlineStr">
        <is>
          <t>Compute vs RAD-DINO, batch 1</t>
        </is>
      </c>
      <c r="D119" s="139" t="inlineStr">
        <is>
          <t>Macro AUROC</t>
        </is>
      </c>
      <c r="E119" s="139" t="inlineStr">
        <is>
          <t>Macro F1</t>
        </is>
      </c>
      <c r="F119" s="139" t="inlineStr">
        <is>
          <t>AUROC gain over CNN</t>
        </is>
      </c>
    </row>
    <row r="120">
      <c r="A120" s="143" t="inlineStr">
        <is>
          <t>CNN alone</t>
        </is>
      </c>
      <c r="B120" s="153">
        <f>'5. Two-Stage Cascade'!D48</f>
        <v>0.175475682382766</v>
      </c>
      <c r="C120" s="153">
        <f>'5. Two-Stage Cascade'!F48</f>
        <v>0.512907135179572</v>
      </c>
      <c r="D120" s="144">
        <f>B40</f>
        <v>0.826303894194635</v>
      </c>
      <c r="E120" s="144">
        <f>F40</f>
        <v>0.353910159186117</v>
      </c>
      <c r="F120" s="145">
        <f>D120-D$120</f>
        <v>0</v>
      </c>
    </row>
    <row r="121">
      <c r="A121" s="155" t="inlineStr">
        <is>
          <t>Distilled CNN (M10)</t>
        </is>
      </c>
      <c r="B121" s="159">
        <f>'5. Two-Stage Cascade'!D48</f>
        <v>0.175475682382766</v>
      </c>
      <c r="C121" s="159">
        <f>'5. Two-Stage Cascade'!F48</f>
        <v>0.512907135179572</v>
      </c>
      <c r="D121" s="156">
        <f>B44</f>
        <v>0.833860425619007</v>
      </c>
      <c r="E121" s="156">
        <f>F44</f>
        <v>0.370185230204689</v>
      </c>
      <c r="F121" s="173">
        <f>D121-D$120</f>
        <v>0.00755653142437174</v>
      </c>
    </row>
    <row r="122">
      <c r="A122" s="143" t="inlineStr">
        <is>
          <t>Cascade t = 0.80 (test)</t>
        </is>
      </c>
      <c r="B122" s="153">
        <f>'5. Two-Stage Cascade'!D52</f>
        <v>0.951143755519194</v>
      </c>
      <c r="C122" s="153">
        <f>'5. Two-Stage Cascade'!F52</f>
        <v>1.288575208316</v>
      </c>
      <c r="D122" s="144">
        <f>B43</f>
        <v>0.832475142784691</v>
      </c>
      <c r="E122" s="144">
        <f>F43</f>
        <v>0.370882366098188</v>
      </c>
      <c r="F122" s="145">
        <f>D122-D$120</f>
        <v>0.00617124859005602</v>
      </c>
    </row>
    <row r="123">
      <c r="A123" s="143" t="inlineStr">
        <is>
          <t>RAD-DINO alone</t>
        </is>
      </c>
      <c r="B123" s="153">
        <f>'5. Two-Stage Cascade'!D49</f>
        <v>1</v>
      </c>
      <c r="C123" s="153">
        <f>'5. Two-Stage Cascade'!F49</f>
        <v>1</v>
      </c>
      <c r="D123" s="144">
        <f>B41</f>
        <v>0.836386109952279</v>
      </c>
      <c r="E123" s="144">
        <f>F41</f>
        <v>0.378779775215721</v>
      </c>
      <c r="F123" s="145">
        <f>D123-D$120</f>
        <v>0.010082215757644</v>
      </c>
    </row>
    <row r="124">
      <c r="A124" s="143" t="inlineStr">
        <is>
          <t>Average of both</t>
        </is>
      </c>
      <c r="B124" s="153">
        <f>'5. Two-Stage Cascade'!D50</f>
        <v>1.17547568238277</v>
      </c>
      <c r="C124" s="153">
        <f>'5. Two-Stage Cascade'!F50</f>
        <v>1.51290713517957</v>
      </c>
      <c r="D124" s="144">
        <f>B42</f>
        <v>0.842777708802811</v>
      </c>
      <c r="E124" s="144">
        <f>F42</f>
        <v>0.381789772742632</v>
      </c>
      <c r="F124" s="145">
        <f>D124-D$120</f>
        <v>0.016473814608176</v>
      </c>
    </row>
    <row r="125" ht="30" customHeight="1" s="65">
      <c r="A125" s="136" t="inlineStr">
        <is>
          <t>The distilled CNN matches the cascade's accuracy (AUROC 0.834 vs 0.833, F1 0.370 vs 0.371) at about one fifth of its cost, and stays cheap one image at a time (0.51× vs 1.29×). The average of both models is still the most accurate system. Distilled vs cascade was not tested for significance.</t>
        </is>
      </c>
    </row>
    <row r="127">
      <c r="A127" s="137" t="inlineStr">
        <is>
          <t>K. Findings, limitations and next steps</t>
        </is>
      </c>
      <c r="B127" s="138" t="n"/>
      <c r="C127" s="138" t="n"/>
      <c r="D127" s="138" t="n"/>
      <c r="E127" s="138" t="n"/>
      <c r="F127" s="138" t="n"/>
      <c r="G127" s="138" t="n"/>
      <c r="H127" s="138" t="n"/>
      <c r="I127" s="138" t="n"/>
      <c r="J127" s="138" t="n"/>
      <c r="K127" s="138" t="n"/>
      <c r="L127" s="138" t="n"/>
    </row>
    <row r="128" ht="20" customHeight="1" s="65">
      <c r="A128" s="139" t="inlineStr">
        <is>
          <t>Type</t>
        </is>
      </c>
      <c r="B128" s="139" t="inlineStr">
        <is>
          <t>Statement</t>
        </is>
      </c>
      <c r="C128" s="82" t="n"/>
      <c r="D128" s="82" t="n"/>
      <c r="E128" s="82" t="n"/>
      <c r="F128" s="82" t="n"/>
      <c r="G128" s="82" t="n"/>
      <c r="H128" s="82" t="n"/>
      <c r="I128" s="82" t="n"/>
      <c r="J128" s="82" t="n"/>
      <c r="K128" s="82" t="n"/>
      <c r="L128" s="80" t="n"/>
    </row>
    <row r="129" ht="28" customHeight="1" s="65">
      <c r="A129" s="140" t="inlineStr">
        <is>
          <t>Finding</t>
        </is>
      </c>
      <c r="B129" s="141" t="inlineStr">
        <is>
          <t>Distillation helps: test macro AUROC 0.8339 vs 0.8263 for the CNN (+0.0076, 95% CI +0.0058 to +0.0096), at the same test-time cost.</t>
        </is>
      </c>
      <c r="C129" s="142" t="n"/>
      <c r="D129" s="142" t="n"/>
      <c r="E129" s="142" t="n"/>
      <c r="F129" s="142" t="n"/>
      <c r="G129" s="142" t="n"/>
      <c r="H129" s="142" t="n"/>
      <c r="I129" s="142" t="n"/>
      <c r="J129" s="142" t="n"/>
      <c r="K129" s="142" t="n"/>
      <c r="L129" s="142" t="n"/>
    </row>
    <row r="130" ht="28" customHeight="1" s="65">
      <c r="A130" s="140" t="inlineStr">
        <is>
          <t>Finding</t>
        </is>
      </c>
      <c r="B130" s="141" t="inlineStr">
        <is>
          <t>It closes about 75% of the CNN → RAD-DINO AUROC gap and two thirds of the AUPRC and macro-F1 gaps; macro recall equals RAD-DINO's (0.462).</t>
        </is>
      </c>
      <c r="C130" s="142" t="n"/>
      <c r="D130" s="142" t="n"/>
      <c r="E130" s="142" t="n"/>
      <c r="F130" s="142" t="n"/>
      <c r="G130" s="142" t="n"/>
      <c r="H130" s="142" t="n"/>
      <c r="I130" s="142" t="n"/>
      <c r="J130" s="142" t="n"/>
      <c r="K130" s="142" t="n"/>
      <c r="L130" s="142" t="n"/>
    </row>
    <row r="131" ht="28" customHeight="1" s="65">
      <c r="A131" s="140" t="inlineStr">
        <is>
          <t>Finding</t>
        </is>
      </c>
      <c r="B131" s="141" t="inlineStr">
        <is>
          <t>It does not formally match RAD-DINO: −0.0025 (CI −0.0056 to +0.0004), just outside the −0.005 margin. Not significantly worse either.</t>
        </is>
      </c>
      <c r="C131" s="142" t="n"/>
      <c r="D131" s="142" t="n"/>
      <c r="E131" s="142" t="n"/>
      <c r="F131" s="142" t="n"/>
      <c r="G131" s="142" t="n"/>
      <c r="H131" s="142" t="n"/>
      <c r="I131" s="142" t="n"/>
      <c r="J131" s="142" t="n"/>
      <c r="K131" s="142" t="n"/>
      <c r="L131" s="142" t="n"/>
    </row>
    <row r="132" ht="28" customHeight="1" s="65">
      <c r="A132" s="140" t="inlineStr">
        <is>
          <t>Finding</t>
        </is>
      </c>
      <c r="B132" s="141" t="inlineStr">
        <is>
          <t>Against the cascade: same accuracy at about one fifth of the cost (0.18× vs 0.95× RAD-DINO at batch 32).</t>
        </is>
      </c>
      <c r="C132" s="142" t="n"/>
      <c r="D132" s="142" t="n"/>
      <c r="E132" s="142" t="n"/>
      <c r="F132" s="142" t="n"/>
      <c r="G132" s="142" t="n"/>
      <c r="H132" s="142" t="n"/>
      <c r="I132" s="142" t="n"/>
      <c r="J132" s="142" t="n"/>
      <c r="K132" s="142" t="n"/>
      <c r="L132" s="142" t="n"/>
    </row>
    <row r="133" ht="28" customHeight="1" s="65">
      <c r="A133" s="140" t="inlineStr">
        <is>
          <t>Finding</t>
        </is>
      </c>
      <c r="B133" s="141" t="inlineStr">
        <is>
          <t>Gains are largest on rare findings and smallest on fine-detail findings (Pneumothorax, Emphysema, Pleural thickening), where RAD-DINO's resolution matters.</t>
        </is>
      </c>
      <c r="C133" s="142" t="n"/>
      <c r="D133" s="142" t="n"/>
      <c r="E133" s="142" t="n"/>
      <c r="F133" s="142" t="n"/>
      <c r="G133" s="142" t="n"/>
      <c r="H133" s="142" t="n"/>
      <c r="I133" s="142" t="n"/>
      <c r="J133" s="142" t="n"/>
      <c r="K133" s="142" t="n"/>
      <c r="L133" s="142" t="n"/>
    </row>
    <row r="134" ht="28" customHeight="1" s="65">
      <c r="A134" s="140" t="inlineStr">
        <is>
          <t>Limitation</t>
        </is>
      </c>
      <c r="B134" s="141" t="inlineStr">
        <is>
          <t>One training seed: CIs cover test-set sampling only. A retrained student could land somewhat differently.</t>
        </is>
      </c>
      <c r="C134" s="142" t="n"/>
      <c r="D134" s="142" t="n"/>
      <c r="E134" s="142" t="n"/>
      <c r="F134" s="142" t="n"/>
      <c r="G134" s="142" t="n"/>
      <c r="H134" s="142" t="n"/>
      <c r="I134" s="142" t="n"/>
      <c r="J134" s="142" t="n"/>
      <c r="K134" s="142" t="n"/>
      <c r="L134" s="142" t="n"/>
    </row>
    <row r="135" ht="28" customHeight="1" s="65">
      <c r="A135" s="140" t="inlineStr">
        <is>
          <t>Limitation</t>
        </is>
      </c>
      <c r="B135" s="141" t="inlineStr">
        <is>
          <t>Teacher soft labels come from models trained on the same images, so they are sharper than on new images (train AUROC 0.917 vs validation 0.874).</t>
        </is>
      </c>
      <c r="C135" s="142" t="n"/>
      <c r="D135" s="142" t="n"/>
      <c r="E135" s="142" t="n"/>
      <c r="F135" s="142" t="n"/>
      <c r="G135" s="142" t="n"/>
      <c r="H135" s="142" t="n"/>
      <c r="I135" s="142" t="n"/>
      <c r="J135" s="142" t="n"/>
      <c r="K135" s="142" t="n"/>
      <c r="L135" s="142" t="n"/>
    </row>
    <row r="136" ht="28" customHeight="1" s="65">
      <c r="A136" s="140" t="inlineStr">
        <is>
          <t>Limitation</t>
        </is>
      </c>
      <c r="B136" s="141" t="inlineStr">
        <is>
          <t>Sections H–J (per finding, error counts, cost vs cascade) are descriptive and were not tested for significance.</t>
        </is>
      </c>
      <c r="C136" s="142" t="n"/>
      <c r="D136" s="142" t="n"/>
      <c r="E136" s="142" t="n"/>
      <c r="F136" s="142" t="n"/>
      <c r="G136" s="142" t="n"/>
      <c r="H136" s="142" t="n"/>
      <c r="I136" s="142" t="n"/>
      <c r="J136" s="142" t="n"/>
      <c r="K136" s="142" t="n"/>
      <c r="L136" s="142" t="n"/>
    </row>
    <row r="137" ht="28" customHeight="1" s="65">
      <c r="A137" s="140" t="inlineStr">
        <is>
          <t>Next step</t>
        </is>
      </c>
      <c r="B137" s="141" t="inlineStr">
        <is>
          <t>Report distillation as the main positive result: it moves RAD-DINO's knowledge into the CNN instead of routing images at test time.</t>
        </is>
      </c>
      <c r="C137" s="142" t="n"/>
      <c r="D137" s="142" t="n"/>
      <c r="E137" s="142" t="n"/>
      <c r="F137" s="142" t="n"/>
      <c r="G137" s="142" t="n"/>
      <c r="H137" s="142" t="n"/>
      <c r="I137" s="142" t="n"/>
      <c r="J137" s="142" t="n"/>
      <c r="K137" s="142" t="n"/>
      <c r="L137" s="142" t="n"/>
    </row>
    <row r="138" ht="28" customHeight="1" s="65">
      <c r="A138" s="140" t="inlineStr">
        <is>
          <t>Next step</t>
        </is>
      </c>
      <c r="B138" s="141" t="inlineStr">
        <is>
          <t>Any further variant (other target weight, larger input size, RAD-DINO as student) must be chosen on validation only and reported as exploratory.</t>
        </is>
      </c>
      <c r="C138" s="142" t="n"/>
      <c r="D138" s="142" t="n"/>
      <c r="E138" s="142" t="n"/>
      <c r="F138" s="142" t="n"/>
      <c r="G138" s="142" t="n"/>
      <c r="H138" s="142" t="n"/>
      <c r="I138" s="142" t="n"/>
      <c r="J138" s="142" t="n"/>
      <c r="K138" s="142" t="n"/>
      <c r="L138" s="142" t="n"/>
    </row>
  </sheetData>
  <mergeCells count="32">
    <mergeCell ref="B129:L129"/>
    <mergeCell ref="B135:L135"/>
    <mergeCell ref="B138:L138"/>
    <mergeCell ref="B7:L7"/>
    <mergeCell ref="A75:L75"/>
    <mergeCell ref="B134:L134"/>
    <mergeCell ref="B131:L131"/>
    <mergeCell ref="A2:L2"/>
    <mergeCell ref="B12:L12"/>
    <mergeCell ref="A104:L104"/>
    <mergeCell ref="B130:L130"/>
    <mergeCell ref="A85:L85"/>
    <mergeCell ref="B11:L11"/>
    <mergeCell ref="A116:L116"/>
    <mergeCell ref="A22:L22"/>
    <mergeCell ref="B74:G74"/>
    <mergeCell ref="B136:L136"/>
    <mergeCell ref="B132:L132"/>
    <mergeCell ref="B8:L8"/>
    <mergeCell ref="A125:L125"/>
    <mergeCell ref="B13:L13"/>
    <mergeCell ref="B10:L10"/>
    <mergeCell ref="B137:L137"/>
    <mergeCell ref="A67:L67"/>
    <mergeCell ref="B128:L128"/>
    <mergeCell ref="B9:L9"/>
    <mergeCell ref="B6:L6"/>
    <mergeCell ref="A1:L1"/>
    <mergeCell ref="A45:L45"/>
    <mergeCell ref="B5:L5"/>
    <mergeCell ref="A36:L36"/>
    <mergeCell ref="B133:L1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2026-09-25T12:15:58Z</dcterms:created>
  <dcterms:modified xsi:type="dcterms:W3CDTF">2026-09-25T16:46:43Z</dcterms:modified>
  <cp:revision>2</cp:revision>
</cp:coreProperties>
</file>